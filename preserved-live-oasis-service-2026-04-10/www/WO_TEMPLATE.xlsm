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oasismacbookair/OASIS POOL AND SPA Dropbox/2025 SERVICE/2. REPAIR TECH WORK ORDERS/"/>
    </mc:Choice>
  </mc:AlternateContent>
  <xr:revisionPtr revIDLastSave="0" documentId="8_{E8D42E0C-F4A3-9C46-90C5-A8B20C9EBF57}" xr6:coauthVersionLast="47" xr6:coauthVersionMax="47" xr10:uidLastSave="{00000000-0000-0000-0000-000000000000}"/>
  <bookViews>
    <workbookView xWindow="3080" yWindow="600" windowWidth="15360" windowHeight="16040" xr2:uid="{5BD31344-16A4-A744-86F5-305A30D7C98B}"/>
  </bookViews>
  <sheets>
    <sheet name="WORK SHEET" sheetId="1" r:id="rId1"/>
    <sheet name="PUMP   SALT" sheetId="2" r:id="rId2"/>
    <sheet name="FILTERS" sheetId="3" r:id="rId3"/>
    <sheet name="LIGHTS" sheetId="8" r:id="rId4"/>
    <sheet name="SERVICE EQUIPMENT" sheetId="6" r:id="rId5"/>
    <sheet name="CHEMICALS" sheetId="5" r:id="rId6"/>
    <sheet name="ELECTRICAL" sheetId="12" r:id="rId7"/>
    <sheet name="PLUMBING" sheetId="4" r:id="rId8"/>
    <sheet name="DEPTH MARKERS" sheetId="9" r:id="rId9"/>
    <sheet name="CONTROLLERS" sheetId="7" r:id="rId10"/>
    <sheet name="HEATERS" sheetId="10" r:id="rId11"/>
    <sheet name="HANDRAILS" sheetId="11" r:id="rId12"/>
    <sheet name="FULL LIST" sheetId="13" r:id="rId1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1" l="1"/>
  <c r="G32" i="1"/>
  <c r="G33" i="1"/>
  <c r="G35" i="1"/>
  <c r="G40" i="1"/>
  <c r="G39" i="1"/>
  <c r="G38" i="1"/>
  <c r="G37" i="1"/>
  <c r="G36" i="1"/>
  <c r="G34" i="1"/>
  <c r="G42" i="1"/>
</calcChain>
</file>

<file path=xl/sharedStrings.xml><?xml version="1.0" encoding="utf-8"?>
<sst xmlns="http://schemas.openxmlformats.org/spreadsheetml/2006/main" count="2392" uniqueCount="1138">
  <si>
    <t>W/O #</t>
  </si>
  <si>
    <t>PROPERTY:</t>
  </si>
  <si>
    <t>DATE CREATED</t>
  </si>
  <si>
    <t xml:space="preserve">WORK DESCRIPTION </t>
  </si>
  <si>
    <t>TOTAL HRS</t>
  </si>
  <si>
    <t xml:space="preserve">DATE: </t>
  </si>
  <si>
    <t xml:space="preserve">TIME IN: </t>
  </si>
  <si>
    <t xml:space="preserve">TIME OUT: </t>
  </si>
  <si>
    <t>MFG PART#</t>
  </si>
  <si>
    <t>UNITS</t>
  </si>
  <si>
    <t>PRICE</t>
  </si>
  <si>
    <t>SUBTOTAL</t>
  </si>
  <si>
    <t xml:space="preserve">TOTAL </t>
  </si>
  <si>
    <t xml:space="preserve">COMMENTS </t>
  </si>
  <si>
    <t>JANETTE</t>
  </si>
  <si>
    <t>D/M/YYYY</t>
  </si>
  <si>
    <t>PRODUCT</t>
  </si>
  <si>
    <t>PUMPS</t>
  </si>
  <si>
    <t>SuperFlo® VST Variable Speed Pump 1.5HP 115/230V</t>
  </si>
  <si>
    <t>IntelliFlo3® VSF Pool Pump 3 THP 208-230V</t>
  </si>
  <si>
    <t>IntelliFlo3® VSF Pump with Relay Board 3 THP 208-230V</t>
  </si>
  <si>
    <t>PENTAIR SUPERFLO PUMP SEAL KIT</t>
  </si>
  <si>
    <t>SuperFlo® Pool Pump .75HP 115/208-230V EXPORT ONLY</t>
  </si>
  <si>
    <t>SuperFlo® Pool Pump 2HP 208-230V EXPORT ONLY</t>
  </si>
  <si>
    <t>SuperFlo® Pool Pump 1HP 240/120V 50Hz EXPORT ONLY</t>
  </si>
  <si>
    <t>WhisperFlo® High Performance Pool Pump 1HP 115/208-230V</t>
  </si>
  <si>
    <t>Silencer Air Blower 1HP 240V</t>
  </si>
  <si>
    <t>Silencer Air Blower 2HP 240V</t>
  </si>
  <si>
    <t>Silencer Air Blower 1.5HP 240V</t>
  </si>
  <si>
    <t>Silencer Air Blower 1.5HP 120V</t>
  </si>
  <si>
    <t>SALT SYSTEMS / SANITIZERS</t>
  </si>
  <si>
    <t>Switch Flow Asy Intellichlor</t>
  </si>
  <si>
    <t>IntelliChlor IC20 Salt Chlorine Generator Cell 20K gal</t>
  </si>
  <si>
    <t>IntelliChlor IC40 Salt Chlorine Generator Cell 40K gal</t>
  </si>
  <si>
    <t>IntelliChlor PC100 Salt Chlorine Generator Power Center 110/220V</t>
  </si>
  <si>
    <t>IntelliChlor Cell Union Set of 2</t>
  </si>
  <si>
    <t>IntelliChlor IC60 Salt Chlorine Generator Cell</t>
  </si>
  <si>
    <t>FILTERS</t>
  </si>
  <si>
    <t>50 Sq Ft Clean and Clear® Cartridge Filter</t>
  </si>
  <si>
    <t>100 SqFt Clean and Clear® Cartridge Filter</t>
  </si>
  <si>
    <t>150 SqFt Clean and Clear® RP Cartridge Filter</t>
  </si>
  <si>
    <t>200 SqFt Clean and Clear® Cartridge Filter</t>
  </si>
  <si>
    <t>240 SqFt Clean and Clear® Plus Cartridge Filter</t>
  </si>
  <si>
    <t>320 Sq Ft Clean &amp; Clear® Plus Cartridge Filter</t>
  </si>
  <si>
    <t>420 SqFt Clean and Clear® Plus Cartridge Filter</t>
  </si>
  <si>
    <t>520 SqFt Clean and Clear® Plus Cartridge Filter</t>
  </si>
  <si>
    <t>High Flow Manual Air Relief Valve</t>
  </si>
  <si>
    <t>Quad Filter Clamp Kit with Tension Control</t>
  </si>
  <si>
    <t>Clean and Clear® Threaded Half Union Kit</t>
  </si>
  <si>
    <t>7" Diameter 105 SqFt Advanced Ultra Replacement Filter Cartridge</t>
  </si>
  <si>
    <t>7" Diameter 80 SqFt Advanced Ultra Replacement Filter Cartridge</t>
  </si>
  <si>
    <t>7" Diameter 520 SqFt Replacement Filter Cartridge</t>
  </si>
  <si>
    <t>7" Diameter 240 SqFt Replacement Filter Cartridge</t>
  </si>
  <si>
    <t>10 1/16" Diameter 100 SqFt Replacement Filter Cartridge</t>
  </si>
  <si>
    <t>10 1/16" Diameter 200 SqFt Replacement Filter Cartridge</t>
  </si>
  <si>
    <t>Clean and Clear® Plus and FNS Tank O-Ring</t>
  </si>
  <si>
    <t>50 SqFt Clean and Clear® Replacement Cartridge Element</t>
  </si>
  <si>
    <t>PLUMBING</t>
  </si>
  <si>
    <t>.5" x 20' SCH 40 PVC Pipe</t>
  </si>
  <si>
    <t>.75" x 20' SCH 40 BB40 PVC Pipe</t>
  </si>
  <si>
    <t>1 1/2" White Slip Sch80 PVC Ball Valve</t>
  </si>
  <si>
    <t>1.5" Slip SCH40 PVC 45 Degree Elbow</t>
  </si>
  <si>
    <t>1.5" Slip SCH40 PVC Coupling</t>
  </si>
  <si>
    <t>1.5" Slip SCH40 PVC Tee</t>
  </si>
  <si>
    <t>1.5" Slip x FPT SCH40 PVC Female Adapter</t>
  </si>
  <si>
    <t>1.5" Slip x MPT SCH40 PVC Male Adapter</t>
  </si>
  <si>
    <t>1.5" True Union Ball Valve Skt x Skt</t>
  </si>
  <si>
    <t>1.5" x .5" SP x FPT SCH40 Reducer Bushing</t>
  </si>
  <si>
    <t>1.5" x 1" Spigot x Slip SCH40 PVC Reducer Bushing</t>
  </si>
  <si>
    <t>1.5" x 20' SCH 40 Bell End PVC Pipe</t>
  </si>
  <si>
    <t>1" Slip SCH40 PVC 45 Degree Elbow</t>
  </si>
  <si>
    <t>1" Slip SCH40 PVC 90 Degree Elbow</t>
  </si>
  <si>
    <t>1" Slip Sch40 PVC Cap</t>
  </si>
  <si>
    <t>1" Slip SCH40 PVC Coupling</t>
  </si>
  <si>
    <t>1" Slip SCH40 PVC Tee</t>
  </si>
  <si>
    <t>1" x .75" Spigot x Slip SCH40 PVC Reducer Bushing</t>
  </si>
  <si>
    <t>1" x 20' SCH 40 PVC Pipe</t>
  </si>
  <si>
    <t>10" x 20' SCH 40 PVC Pipe</t>
  </si>
  <si>
    <t>12" Slip Cap</t>
  </si>
  <si>
    <t>12" Slip x Slip 45° Elbow</t>
  </si>
  <si>
    <t>12" Slip x Slip 90° Elbow</t>
  </si>
  <si>
    <t>12" Slip x Slip Coupling</t>
  </si>
  <si>
    <t>12" Slip x Slip x Slip Tee</t>
  </si>
  <si>
    <t>12" x 20' SCH 40 PVC Pipe</t>
  </si>
  <si>
    <t>12" x 6" SPG x SLIP PVC Reducer Bushing</t>
  </si>
  <si>
    <t>12" x 8" SPG x SLIP PVC Reducer Bushing</t>
  </si>
  <si>
    <t>2.5" Check Valve CPVC with 3" Slip Outside</t>
  </si>
  <si>
    <t>2.5" x 20' SCH 40 Bell End PVC Pipe</t>
  </si>
  <si>
    <t>2" FPT SCH40 Cap</t>
  </si>
  <si>
    <t>2" FPT x FPT SCH40 Coupling</t>
  </si>
  <si>
    <t>2" MPT SCH40 Plug</t>
  </si>
  <si>
    <t>2" Slip SCH40 PVC 45 Degree Elbow</t>
  </si>
  <si>
    <t>2" Slip SCH40 PVC 90 Degree Elbow</t>
  </si>
  <si>
    <t>2" Slip SCH40 PVC 90 Degree Sweep Elbow</t>
  </si>
  <si>
    <t>2" Slip Sch40 PVC Cap</t>
  </si>
  <si>
    <t>2" Slip SCH40 PVC Coupling</t>
  </si>
  <si>
    <t>2" Slip SCH40 PVC Tee</t>
  </si>
  <si>
    <t>2" Slip x FPT SCH40 PVC Female Adapter</t>
  </si>
  <si>
    <t>2" Slip x MPT SCH40 PVC Male Adapter</t>
  </si>
  <si>
    <t>2" Slip x Slilp Sch40 Union (O-Ring Type)</t>
  </si>
  <si>
    <t>2" Straight CPVC Check Valve</t>
  </si>
  <si>
    <t>2" True Union Ball Valve Skt x Skt</t>
  </si>
  <si>
    <t>2" x .5" SP x Slip SCH40 Reducer Bushing</t>
  </si>
  <si>
    <t>2" x 1.5" MPT x FPT SCH40 PVC Threaded Reducer Bushing</t>
  </si>
  <si>
    <t>2" x 1.5" Spigot x Slip SCH40 PVC Reducer Bushing</t>
  </si>
  <si>
    <t>2" x 1" SP x Slip Sch40 Reducer Bushing</t>
  </si>
  <si>
    <t>2" x 20' SCH 40 Bell End PVC Pipe</t>
  </si>
  <si>
    <t>2" x 3/4" SP x Slip Sch40 Reducer Bushing</t>
  </si>
  <si>
    <t>2"-2 1/2" Neverlube Positive Seal 2-Port Diverter Valve</t>
  </si>
  <si>
    <t>2"-2 1/2" Neverlube Positive Seal 3-Port Diverter Valve</t>
  </si>
  <si>
    <t>3" Slip Sch40 PVC Cap</t>
  </si>
  <si>
    <t>3" Slip x Slip Sch40 45° Elbow</t>
  </si>
  <si>
    <t>3" Slip x Slip Sch40 90° Elbow</t>
  </si>
  <si>
    <t>3" Slip x Slip Sch40 Coupling</t>
  </si>
  <si>
    <t>3" Slip x Slip x Slip Sch40 Tee</t>
  </si>
  <si>
    <t>3" x 2 1/2" SP x Slip Sch40 Reducer Bushing</t>
  </si>
  <si>
    <t>3" x 2" SP x Slip Sch40 Reducer Bushing</t>
  </si>
  <si>
    <t>3" x 20' SCH 40 PVC Pipe</t>
  </si>
  <si>
    <t>4" Slip PVC Cap</t>
  </si>
  <si>
    <t>4" Slip x Slip 45° Elbow</t>
  </si>
  <si>
    <t>4" Slip x Slip 90° Elbow</t>
  </si>
  <si>
    <t>4" Slip x Slip Coupling</t>
  </si>
  <si>
    <t>4" Slip x Slip x Slip Tee</t>
  </si>
  <si>
    <t>4" x 2" SP x Slip Reducer Bushing</t>
  </si>
  <si>
    <t>4" x 20' SCH 40 PVC Pipe with Bell End</t>
  </si>
  <si>
    <t>4" x 2½" SP x Slip Reducer Bushing</t>
  </si>
  <si>
    <t>4" x 3" SP x Slip Reducer Bushing</t>
  </si>
  <si>
    <t>6" Slip SCH 40 PVC 90 Degree Elbow</t>
  </si>
  <si>
    <t>6" Slip x Slip x Slip Tee</t>
  </si>
  <si>
    <t>6" White SCH 40 PVC Coupling Slip x Slip</t>
  </si>
  <si>
    <t>6" White SCH40 PVC 45 Elbow Socket</t>
  </si>
  <si>
    <t>6" White SCH40 PVC Cap Socket</t>
  </si>
  <si>
    <t>6" x 20' SCH 40 PVC Pipe with Bell End</t>
  </si>
  <si>
    <t>744 Clear Pool PVC Solvent Cement 1 qt</t>
  </si>
  <si>
    <t>8" Slip x Slip 90° Elbow</t>
  </si>
  <si>
    <t>8" Slip x Slip Coupling</t>
  </si>
  <si>
    <t>8" x 20' SCH 40 PVC Pipe</t>
  </si>
  <si>
    <t>Pool Fast 748 Blue PVC Solvent Cement 1 qt</t>
  </si>
  <si>
    <t>QT CLEAR POOL PRIMER</t>
  </si>
  <si>
    <t>QT PURPLE POOL PRIMER</t>
  </si>
  <si>
    <t>50 lbs 3" Big Tabs Sanitizer, Unwrapped</t>
  </si>
  <si>
    <t>1.5 lb Brominating Tabs</t>
  </si>
  <si>
    <t>100lbs Granular Conditioner</t>
  </si>
  <si>
    <t>Food Quality Salt 40 lb Bag</t>
  </si>
  <si>
    <t>1 Qt Phosphate Remover</t>
  </si>
  <si>
    <t>50lbs Dense Soda Ash</t>
  </si>
  <si>
    <t>50 lbs Industrial Blend Sodium Bicarbonate</t>
  </si>
  <si>
    <t>1 qt Algaecide Plus</t>
  </si>
  <si>
    <t>Gallon No Deposit Muriatic Acid</t>
  </si>
  <si>
    <t>68% Calcium Hypochlorite Granular 100lb Drum</t>
  </si>
  <si>
    <t>Gallon TX-1000 Blue Maxx</t>
  </si>
  <si>
    <t>DPD Reagent #1  2 oz Dropper Bottle</t>
  </si>
  <si>
    <t>DPD Reagent #2 2 oz Dropper Bottle</t>
  </si>
  <si>
    <t>2oz DPD Reagent #3</t>
  </si>
  <si>
    <t>pH Indicator Solution for 2000 Series Phenol Red 2 oz Dropper Bottle</t>
  </si>
  <si>
    <t>Acid Demand Reagent for 2000 Series 2 oz Dropper Bottle</t>
  </si>
  <si>
    <t>Base Demand Reagent for 2000 Series 2 oz Dropper Bottle</t>
  </si>
  <si>
    <t>Thiosulfate N/10, 2 oz, Dropper Bottle</t>
  </si>
  <si>
    <t>Total Alkalinity Indicator 2 oz Dropper Bottle</t>
  </si>
  <si>
    <t>Sulfuric Acid .12N 2 oz</t>
  </si>
  <si>
    <t>Calcium Buffer 2 oz Dropper Bottle</t>
  </si>
  <si>
    <t>Calcium Indicator Liquid 2 oz Dropper Bottle</t>
  </si>
  <si>
    <t>Hardness Reagent 2 oz Dropper Bottle</t>
  </si>
  <si>
    <t>Cyanuric Acid Reagent 2 oz Clear</t>
  </si>
  <si>
    <t>Plastic Calibrated Bottle with Dispenser Cap for Cyanuric Acid 7/14 mL</t>
  </si>
  <si>
    <t>SERVICE EQUIPMENT</t>
  </si>
  <si>
    <t>1.5" x 50' Professional Vacuum Hose with Swivel Cuff</t>
  </si>
  <si>
    <t>14'' Vacuum Head 6pk</t>
  </si>
  <si>
    <t>18" Curved Combination Wall Brush with Mixed SS and Synthetic Bristles</t>
  </si>
  <si>
    <t>18'' White Polypropylene Bene Bristle Brush</t>
  </si>
  <si>
    <t>8'-16' ProMax Tele Pole with Nylon Internal Cam</t>
  </si>
  <si>
    <t>16' Straight Pole</t>
  </si>
  <si>
    <t>Complete High Range Pool Water Test Kit with 20 oz Reagents 8 Boxes</t>
  </si>
  <si>
    <t>Medium Pad with 36" - 72" Handle</t>
  </si>
  <si>
    <t>White Salt Test Strip 10 Count</t>
  </si>
  <si>
    <t>One Minute Phosphate Test Kit 20 Count</t>
  </si>
  <si>
    <t>TDS Test Strip 25 Count</t>
  </si>
  <si>
    <t>Scrub Pad with Knob</t>
  </si>
  <si>
    <t>5 oz Tube Magic Lube PTFE Based Multi-Purpose Sealant and Lubricant</t>
  </si>
  <si>
    <t>.50"  x  520" Teflon Tape</t>
  </si>
  <si>
    <t>15' Butyl Tape</t>
  </si>
  <si>
    <t>14 oz White Two-Part Epoxybond Pool Putty</t>
  </si>
  <si>
    <t>20" Red Baron Leaf Rake with Tuff Duty Mesh Net</t>
  </si>
  <si>
    <t>18" Pro-Lite Leaf Rake with Silt Bag</t>
  </si>
  <si>
    <t>6 CS Pro Spawand Yellow</t>
  </si>
  <si>
    <t>24" x 36" Vertical SPA RULES Sign (FL)</t>
  </si>
  <si>
    <t>24" x 36" Florida Pool Rules Sign</t>
  </si>
  <si>
    <t>24" x 24" Vertical NO LIFEGUARD ON DUTY Sign (TX/GA)</t>
  </si>
  <si>
    <t>12" x 9" Horizontal EMERGENCY SHUT-OFF SWITCH Sign</t>
  </si>
  <si>
    <t>Pitot Tube Horizontal Flow Meter 2” IPS</t>
  </si>
  <si>
    <t>Pitot Tube Horizontal Flow Meter 6" IPS</t>
  </si>
  <si>
    <t>Pitot Tube Horizontal Flow Meter 4" IPS</t>
  </si>
  <si>
    <t>2" - 2.50" Flowvis Flowmeter with Safety Flapper</t>
  </si>
  <si>
    <t>24" White Coast Guard (Uscg) Approved Ring Buoy</t>
  </si>
  <si>
    <t>Life Hook without Hardware</t>
  </si>
  <si>
    <t>60' Throw Rope with Float and Ring Buoy Holder</t>
  </si>
  <si>
    <t>Deluxe Series Aluminum Pole Hangers 2 Pack</t>
  </si>
  <si>
    <t>V3 BLACK ON WHITE VINYL HIGH END POOL PLUMBING LABELS</t>
  </si>
  <si>
    <t>Back Flow Preventer Brass</t>
  </si>
  <si>
    <t>2" Steel Vacuum Gauge 0.25" Bottom Mount 0-30 HG</t>
  </si>
  <si>
    <t>2" Plastic Pressure Gauge 0.25" Bottom Mount 0-60 PSI</t>
  </si>
  <si>
    <t>POOL CONTROLLERS</t>
  </si>
  <si>
    <t>IntelliCenter® Lite Pool/Spa Power Center with 2 CVA24 Standard Valve Actuators</t>
  </si>
  <si>
    <t>IntelliCenter® Load Center System with i8PS Personality Kit &amp; IntelliChlor® SCG</t>
  </si>
  <si>
    <t>IntelliCenter® Wireless Remote with Transceiver</t>
  </si>
  <si>
    <t>IntelliCenter® Pool Cover Interface Expansion Board</t>
  </si>
  <si>
    <t>Wireless Link Kit with Ethernet Module</t>
  </si>
  <si>
    <t>CVA24 Valve Actuator For 3 Port Valve</t>
  </si>
  <si>
    <t>IntelliValve™ Valve Actuator for Any Automation System</t>
  </si>
  <si>
    <t>White iS4 4-Function Spa-Side Remote Control with 100' Cord 5 VDC</t>
  </si>
  <si>
    <t>White iS4 4-Function Spa-Side Remote Control with 150' Cord 5 VDC</t>
  </si>
  <si>
    <t>White SpaCommand® Spa-Side Remote with 150' Cord</t>
  </si>
  <si>
    <t>Black SpaCommand® Spa-Side Remote with 150' Cord</t>
  </si>
  <si>
    <t>SpaCommand® Mud Box Accessory with Cover Plate</t>
  </si>
  <si>
    <t>Levolor with Sensor 100' and 1" Valve</t>
  </si>
  <si>
    <t>Levolor Dual Style Sensor with 100' Cord</t>
  </si>
  <si>
    <t>Color Sync Controller</t>
  </si>
  <si>
    <t>ScreenLogic2® Wireless Connection Kit Bundle</t>
  </si>
  <si>
    <t>LIGHTS</t>
  </si>
  <si>
    <t>Microbrite® Color LED Light with 50' Cord 12V 14W</t>
  </si>
  <si>
    <t>Microbrite® Color LED Light with 100' Cord 12V 14W</t>
  </si>
  <si>
    <t>Microbrite® Color LED Light with 150' Cord 12V 14W</t>
  </si>
  <si>
    <t>Microbrite® White LED Light with 50' Cord 12V 14W</t>
  </si>
  <si>
    <t>Microbrite® White LED Light with 100' Cord 12V 14W</t>
  </si>
  <si>
    <t>Microbrite® White LED Light with 150' Cord 12V 14W</t>
  </si>
  <si>
    <t>Microbrite® Adapter for Globrite Light Niche</t>
  </si>
  <si>
    <t>50' 12V RGBW Pool Intellibrite Architectural Series Light</t>
  </si>
  <si>
    <t>100' 12V RGBW Pool Intellibrite Architectural Series Light</t>
  </si>
  <si>
    <t>150' 12V 28W RGBW Pool Intellibrite Architectural Series Light</t>
  </si>
  <si>
    <t>50' 12V 18W RGBW Color Spa Intellibrite Architectural Series Light</t>
  </si>
  <si>
    <t>100' 12V 18W RGBW Spa Intellibrite Architectural Series Light</t>
  </si>
  <si>
    <t>50' 12V White Spa Intellibrite Architectural Series Light</t>
  </si>
  <si>
    <t>100' 12V White Spa Intellibrite Architectural Series Light</t>
  </si>
  <si>
    <t>Vivid 360™ White LED Pool Bulb 35W</t>
  </si>
  <si>
    <t>Vivid 360™ Multicolor LED Pool Bulb 35W</t>
  </si>
  <si>
    <t>Vivid 360™ White LED Spa Bulb 20W</t>
  </si>
  <si>
    <t>Vivid 360™ Mulicolor LED Spa Bulb 20W</t>
  </si>
  <si>
    <t>Transformer 12 -14V 300W</t>
  </si>
  <si>
    <t>DEPTH MARKERS</t>
  </si>
  <si>
    <t>6" x 6" 3 Standard Number Smooth Tile Depth Marker</t>
  </si>
  <si>
    <t>6" x 6" 4 Standard Number Smooth Tile Depth Marker</t>
  </si>
  <si>
    <t>6" x 6" 5 Standard Number Smooth Tile Depth Marker</t>
  </si>
  <si>
    <t>6" x 6" 6 Standard Number Smooth Tile Depth Marker</t>
  </si>
  <si>
    <t>Smooth NO DIVING Depth Marker</t>
  </si>
  <si>
    <t>6" x 6" IN AB Smooth Ceramic Tile Waterline Depth Marker</t>
  </si>
  <si>
    <t>6" x 6" FT AB Series Top Print Smooth Ceramic Depth Marker</t>
  </si>
  <si>
    <t>6" x 6" 1 NO Skid-Resistant Ceramic Tile Deck Depth Marker</t>
  </si>
  <si>
    <t>6" x 6" 2 NO Skid-Resistant Ceramic Tile Deck Depth Marker</t>
  </si>
  <si>
    <t>6" x 6" 3 NO Skid Resistant Ceramic Tile Deck Depth Marker</t>
  </si>
  <si>
    <t>6" x 6" 4 NO Skid Resistant Ceramic Tile Deck Depth Marker</t>
  </si>
  <si>
    <t>6" x 6" 5 NO Skid Resistant Ceramic Tile Deck Depth Marker</t>
  </si>
  <si>
    <t>6" x 6" 6 NO Skid Resistant Ceramic Tile Deck Depth Marker</t>
  </si>
  <si>
    <t>6" x 6" IN AB Series Non-Skid Ceramic Tile Depth Marker</t>
  </si>
  <si>
    <t>6" x 6" FT AB Series Non-Skid Ceramic Tile Depth Marker</t>
  </si>
  <si>
    <t>Non-Skid  NO DIVING Depth Marker</t>
  </si>
  <si>
    <t>6" x 6" 2 with FT FT Series Non-Skid Vinyl Stick-On Depth Marker</t>
  </si>
  <si>
    <t>6" x 6" 3 with FT FT Series Non-Skid Vinyl Stick-On Depth Marker</t>
  </si>
  <si>
    <t>6" x 6" 4 with FT FT Series Non-Skid Vinyl Stick-On Depth Marker</t>
  </si>
  <si>
    <t>6" x 6" 5 with FT FT Series Non-Skid Vinyl Stick-On Depth Marker</t>
  </si>
  <si>
    <t>6" x 6" 6 with FT FT Series Non-Skid Vinyl Stick-On Depth Marker</t>
  </si>
  <si>
    <t>6" x 6" FT AB Series Non-Skid Vinyl Stick-On Depth Marker</t>
  </si>
  <si>
    <t>6" x 6" IN AB Series Non-Skid Vinyl Stick-On Depth Marker</t>
  </si>
  <si>
    <t>6" x 6" No Diving MG Series Non-Skid Vinyl Stick-On Depth Marker</t>
  </si>
  <si>
    <t>HEATERS</t>
  </si>
  <si>
    <t>SQ120R Heat / cool heatpump</t>
  </si>
  <si>
    <t>SQ225A Heat only Heatpump</t>
  </si>
  <si>
    <t>Ultratemp® Heat/Cool 140K BTU 230V</t>
  </si>
  <si>
    <t>HANDRAILS / LADDERS</t>
  </si>
  <si>
    <t>67" Stainless Steel Artisan Deck Mount Stair Rail</t>
  </si>
  <si>
    <t>44" Stainless Steel Artisan Handrail Single</t>
  </si>
  <si>
    <t>4' Stainless Steel 2 Bend Deck to Stair Handrail</t>
  </si>
  <si>
    <t>24" 3 Step Economy Ladder with Elite Stainless Steel Tread</t>
  </si>
  <si>
    <t>3 Step Artisan Ladder with Stainless Steel Tread</t>
  </si>
  <si>
    <t>20" Elite Stainless Steel 3 Tread and Hardware Kit</t>
  </si>
  <si>
    <t>60" Stainless Steel Artisan Stair Rail</t>
  </si>
  <si>
    <t>4" Bronze Anchor Socket</t>
  </si>
  <si>
    <t>Stainless Steel Escutcheon</t>
  </si>
  <si>
    <t>ART-1004</t>
  </si>
  <si>
    <t>ART-1001S</t>
  </si>
  <si>
    <t>2HR-4-049</t>
  </si>
  <si>
    <t>VLLS-103S</t>
  </si>
  <si>
    <t>ART-1003</t>
  </si>
  <si>
    <t>8-913S</t>
  </si>
  <si>
    <t>ART-1002</t>
  </si>
  <si>
    <t>AS-100B</t>
  </si>
  <si>
    <t>PE-0019-S</t>
  </si>
  <si>
    <t>1'' Black Junction Box with Poly Cover</t>
  </si>
  <si>
    <t>1" x 10' SCH40 PVC Electrical Conduit</t>
  </si>
  <si>
    <t>1.25" x 10' SCH40 PVC Electrical Conduit</t>
  </si>
  <si>
    <t>1.5" x 10' SCH40 PVC Electrical Conduit</t>
  </si>
  <si>
    <t>2" x 10' SCH40 PVC Electrical Conduit</t>
  </si>
  <si>
    <t>8SOLBA500 500'/ROL #8 Bare Solid Wire</t>
  </si>
  <si>
    <t>24-Hour DPST Mechanical Time Switch w/ Plastic Enclosure 208-277V</t>
  </si>
  <si>
    <t>24-Hour SPST Mechanical Time Switch w/ Type 3R Plastic Enclosure 120V</t>
  </si>
  <si>
    <t>.5" x 10' SCH40 PVC Electrical Conduit</t>
  </si>
  <si>
    <t>.75" x 10' SCH40 PVC Electrical Conduit</t>
  </si>
  <si>
    <t>1M Grey Suction Cleaner Connector Hose</t>
  </si>
  <si>
    <t>WhisperFlo® VST Variable Speed Pump 115/208-230V</t>
  </si>
  <si>
    <t>IntelliFlo® VS+SVRS Variable Speed Pump 3HP 230V</t>
  </si>
  <si>
    <t>IntelliFlo3® VSF Pool Pump 1.5 THP 115/208-230V</t>
  </si>
  <si>
    <t>WhisperFlo® High Performance Pump 1.5HP 208-230V EXPORT ONLY</t>
  </si>
  <si>
    <t>WhisperFloXF® High Performance Pump Export 3HP 208-230V EXPORT ONLY</t>
  </si>
  <si>
    <t>Seal for EQ and C Series Pumps</t>
  </si>
  <si>
    <t>2" &amp; 2.5" Union Kit for 3HP IntelliFlo3 Pool Pump</t>
  </si>
  <si>
    <t>3" Union Kit for 3HP IntelliFlo3 Pool Pump</t>
  </si>
  <si>
    <t>Acid Tank with Tank Mounted Pump</t>
  </si>
  <si>
    <t>IntellipH pH Controller with Acid Container</t>
  </si>
  <si>
    <t>iChlor 30 Salt Chlorine Generator PWR CTR Bundle</t>
  </si>
  <si>
    <t>Clear Amber 300 Off Line Automatic Chlorinator</t>
  </si>
  <si>
    <t>Automatic Commercial High Capacity Chlorinator</t>
  </si>
  <si>
    <t>2.5" Clean and Clear® Drain Cap and Gasket</t>
  </si>
  <si>
    <t>100 SqFt Clean and Clear® Replacement Cartridge Element</t>
  </si>
  <si>
    <t>10 1/16" Diameter 150 SqFt Replacement Filter Cartridge</t>
  </si>
  <si>
    <t>50 SqFt and 100 Sqft Clean and Clear® Almond Tank Lid</t>
  </si>
  <si>
    <t>1.5" MPT Black Drain Cap Plug with O-Ring</t>
  </si>
  <si>
    <t>12" x 13.25" x 2.25" Locking Ring Assembly</t>
  </si>
  <si>
    <t>320 SqFt 420 SqFt 520 SqFt SqFt Clean and Clear® Manifold Top with Short Adapter</t>
  </si>
  <si>
    <t>C-7471-4 4/PK 105SQF CLEAN &amp; CLEAR PLUS CARTRIDGE ELEMENT</t>
  </si>
  <si>
    <t>C-7469-4 4/PK 60SQF CLEAN &amp; CLEAR PLUS CARTRIDGE ELEMENT</t>
  </si>
  <si>
    <t>C-7470-4 4/PK 80SQF CLEAN &amp; CLEAR PLUS CARTRIDGE ELEMENT</t>
  </si>
  <si>
    <t>1.5" Side Mount MultiPort Valve Spider Gasket</t>
  </si>
  <si>
    <t>2" Black Spider Gasket</t>
  </si>
  <si>
    <t>50' 12V 300W White Pool Intellibrite Architectural Series Light</t>
  </si>
  <si>
    <t>100' 12V 300W White Pool Intellibrite Architectural Series Light</t>
  </si>
  <si>
    <t>150' 12V 300W White Pool Intellibrite Architectural Series Light</t>
  </si>
  <si>
    <t>150' 12V 500W White Pool Intellibrite Architectural Series Light</t>
  </si>
  <si>
    <t>8 3/8'' Gasket For Lens, Amerlite and Spectrum Amerlite (SAm) Lights</t>
  </si>
  <si>
    <t>Large PVC Niche for Concrete Pools</t>
  </si>
  <si>
    <t>Small PVC Niche for Concrete Pools</t>
  </si>
  <si>
    <t>MagicStream® Laminar LED Tan Lid with 100 ft cord</t>
  </si>
  <si>
    <t>Air / water / solar / temperature sensor</t>
  </si>
  <si>
    <t>MasterTemp® Liquid Propane High Performance Heater 400K BTU</t>
  </si>
  <si>
    <t>MasterTemp® Liquid Propane High Performance Heater 250K BTU</t>
  </si>
  <si>
    <t>Thermistor for Max-E-Therm and MasterTemp Heater Electrical System</t>
  </si>
  <si>
    <t>Thermal Regulator Kit for Max-E-Therm and MasterTemp Heater Water System</t>
  </si>
  <si>
    <t>Igniter with Gasket Kit for Max-E-Therm and MasterTemp Heater Electrical System</t>
  </si>
  <si>
    <t>High Limit Switch for Max-E-Therm and MasterTemp Heater Electrical System</t>
  </si>
  <si>
    <t>Stack Flue Sensor for Max-E-Therm and MasterTemp Heater Electrical System</t>
  </si>
  <si>
    <t>Mastertemp Max-E-Therm 6-Button Control Board Kit</t>
  </si>
  <si>
    <t>Water Pressure Switch for MasterTemp Heater Water System</t>
  </si>
  <si>
    <t>Mastertemp Max-E-Therm 5-Button Membrane Pad Kit</t>
  </si>
  <si>
    <t>Combination Gas Control Valve Kit for MT Heater Burner System</t>
  </si>
  <si>
    <t>Water System Manifold Replacement Kit Natural Gas and Propane Pool/Spa Heater</t>
  </si>
  <si>
    <t>Air Flow Switch for MasterTemp Max-E-Therm Heater</t>
  </si>
  <si>
    <t>C-Spa Electric Spa Heater 11KW 240V</t>
  </si>
  <si>
    <t>Crosswind 65-I Heat/Cool Pump 61K BTU 208/230V</t>
  </si>
  <si>
    <t>011528-INT</t>
  </si>
  <si>
    <t>022033-INT</t>
  </si>
  <si>
    <t>348022-INT</t>
  </si>
  <si>
    <t>348146-INT</t>
  </si>
  <si>
    <t>340095-INT</t>
  </si>
  <si>
    <t>011527-INT</t>
  </si>
  <si>
    <t>071725S</t>
  </si>
  <si>
    <t>GO-KIT78-9</t>
  </si>
  <si>
    <t>154712Z</t>
  </si>
  <si>
    <t>R173215</t>
  </si>
  <si>
    <t>ULTRA-C4</t>
  </si>
  <si>
    <t>1.5" x 2" Black Bulkhead Union Set</t>
  </si>
  <si>
    <t>178733Z</t>
  </si>
  <si>
    <t>ULTRA-C3</t>
  </si>
  <si>
    <t>ULTRA-C5</t>
  </si>
  <si>
    <t>39010200Z</t>
  </si>
  <si>
    <t>R173213</t>
  </si>
  <si>
    <t>ULTRA-A6-PAK4</t>
  </si>
  <si>
    <t>UNI-051-9505</t>
  </si>
  <si>
    <t>UNI-051-9503</t>
  </si>
  <si>
    <t>UNI-051-9504</t>
  </si>
  <si>
    <t>ULTRA-A5-PAK4</t>
  </si>
  <si>
    <t>PCC130-PAK4 SPG</t>
  </si>
  <si>
    <t>PCC60-PAK4 SPG</t>
  </si>
  <si>
    <t>14971-SM20E12</t>
  </si>
  <si>
    <t>REPAIR TECH</t>
  </si>
  <si>
    <t>FC-6410</t>
  </si>
  <si>
    <t>115 Sq Ft CL460/ CV460 Cartridge 4 Pack</t>
  </si>
  <si>
    <t>79101600Z</t>
  </si>
  <si>
    <t>IH548112050PCOB</t>
  </si>
  <si>
    <t>HSCHK100GRPK12</t>
  </si>
  <si>
    <t>R201388</t>
  </si>
  <si>
    <t>R111316</t>
  </si>
  <si>
    <t>7016 PRO MAX</t>
  </si>
  <si>
    <t>K-2005C-8</t>
  </si>
  <si>
    <t>PROD260</t>
  </si>
  <si>
    <t>561140A</t>
  </si>
  <si>
    <t>PROD075</t>
  </si>
  <si>
    <t>BT15</t>
  </si>
  <si>
    <t>RBTD</t>
  </si>
  <si>
    <t>PLSLT</t>
  </si>
  <si>
    <t>5-200-00</t>
  </si>
  <si>
    <t>F-30200P</t>
  </si>
  <si>
    <t>F-30600P</t>
  </si>
  <si>
    <t>F-30400P</t>
  </si>
  <si>
    <t>FV-C-S</t>
  </si>
  <si>
    <t>R221026</t>
  </si>
  <si>
    <t>10-222-60</t>
  </si>
  <si>
    <t>K079CBX/AL</t>
  </si>
  <si>
    <t>IDL-3B</t>
  </si>
  <si>
    <t>646AS4</t>
  </si>
  <si>
    <t>86030BU</t>
  </si>
  <si>
    <t>81060BU</t>
  </si>
  <si>
    <t>REAGENTS</t>
  </si>
  <si>
    <t>R-0001-C-12</t>
  </si>
  <si>
    <t>R-0002-C-12</t>
  </si>
  <si>
    <t>R-0003-C-12</t>
  </si>
  <si>
    <t>R-0004-C-12</t>
  </si>
  <si>
    <t>R-0005-C-12</t>
  </si>
  <si>
    <t>R-0006-C-12</t>
  </si>
  <si>
    <t>R-0007-C-12</t>
  </si>
  <si>
    <t>R-0008-C-12</t>
  </si>
  <si>
    <t>R-0009-C-12</t>
  </si>
  <si>
    <t>R-0010-C-12</t>
  </si>
  <si>
    <t>R-0011L-C-12</t>
  </si>
  <si>
    <t>R-0012-C-12</t>
  </si>
  <si>
    <t>R-0013-C-12</t>
  </si>
  <si>
    <t>SERVICE CHEMS</t>
  </si>
  <si>
    <t>2790-B</t>
  </si>
  <si>
    <t>SA50</t>
  </si>
  <si>
    <t>MA4</t>
  </si>
  <si>
    <t>90402SKR</t>
  </si>
  <si>
    <t>1 qt Seaklear Clarifier™</t>
  </si>
  <si>
    <t>50# SAND 20/30</t>
  </si>
  <si>
    <t>50lbs. 20/30 Silica Sand</t>
  </si>
  <si>
    <r>
      <rPr>
        <sz val="10"/>
        <color indexed="8"/>
        <rFont val="Futura Medium"/>
      </rPr>
      <t>ALT-C-7471-4</t>
    </r>
  </si>
  <si>
    <t>ELECTRICAL</t>
  </si>
  <si>
    <t>ULS012</t>
  </si>
  <si>
    <t>ULS015</t>
  </si>
  <si>
    <t>ULS020</t>
  </si>
  <si>
    <t>T104P3</t>
  </si>
  <si>
    <t>T101P3</t>
  </si>
  <si>
    <t>1/2X20 PLAIN END</t>
  </si>
  <si>
    <t>3/4X20 PLAIN END</t>
  </si>
  <si>
    <t>1X20 BELL END</t>
  </si>
  <si>
    <t>1-1/2X20 BELL END</t>
  </si>
  <si>
    <t>2-1/2X20 BELL END</t>
  </si>
  <si>
    <t>SCH40 3X20</t>
  </si>
  <si>
    <t>4X20 BELL END</t>
  </si>
  <si>
    <t>6X20 BELL END</t>
  </si>
  <si>
    <t>AAA-4196</t>
  </si>
  <si>
    <t>AAA-4197</t>
  </si>
  <si>
    <t>AAA-4207</t>
  </si>
  <si>
    <t>BV6-1501PES</t>
  </si>
  <si>
    <t>V17491N</t>
  </si>
  <si>
    <t>BV6-2001PES</t>
  </si>
  <si>
    <t>429010BC</t>
  </si>
  <si>
    <t>406010BC</t>
  </si>
  <si>
    <t>401010BC</t>
  </si>
  <si>
    <t>417010BC</t>
  </si>
  <si>
    <t>437131BC</t>
  </si>
  <si>
    <t>447010BC</t>
  </si>
  <si>
    <t>429015BC</t>
  </si>
  <si>
    <t>401015BC</t>
  </si>
  <si>
    <t>417015BC</t>
  </si>
  <si>
    <t>436015BC</t>
  </si>
  <si>
    <t>437211BC</t>
  </si>
  <si>
    <t>450015BC</t>
  </si>
  <si>
    <t>406020BC</t>
  </si>
  <si>
    <t>437249BC</t>
  </si>
  <si>
    <t>429020BC</t>
  </si>
  <si>
    <t>401020BC</t>
  </si>
  <si>
    <t>437251BC</t>
  </si>
  <si>
    <t>437292BC</t>
  </si>
  <si>
    <t>447020BC</t>
  </si>
  <si>
    <t>437248BC</t>
  </si>
  <si>
    <t>436020BC</t>
  </si>
  <si>
    <t>417020BC</t>
  </si>
  <si>
    <t>406020SW</t>
  </si>
  <si>
    <t>429-060</t>
  </si>
  <si>
    <t>406-060</t>
  </si>
  <si>
    <t>417-060</t>
  </si>
  <si>
    <t>447-060</t>
  </si>
  <si>
    <t>437-668</t>
  </si>
  <si>
    <t>437-666</t>
  </si>
  <si>
    <t>DM41-1030</t>
  </si>
  <si>
    <t>DM41-1040</t>
  </si>
  <si>
    <t>DM41-1050</t>
  </si>
  <si>
    <t>DM41-1060</t>
  </si>
  <si>
    <t>DM701-05</t>
  </si>
  <si>
    <t>C613505</t>
  </si>
  <si>
    <t>CCT613500</t>
  </si>
  <si>
    <t>C621010</t>
  </si>
  <si>
    <t>C621020</t>
  </si>
  <si>
    <t>CC621030</t>
  </si>
  <si>
    <t>CC621040</t>
  </si>
  <si>
    <t>CC621050</t>
  </si>
  <si>
    <t>CC621060</t>
  </si>
  <si>
    <t>CC623505</t>
  </si>
  <si>
    <t>CC623500</t>
  </si>
  <si>
    <t>DM702-05</t>
  </si>
  <si>
    <t>V620020</t>
  </si>
  <si>
    <t>V620030</t>
  </si>
  <si>
    <t>V620040</t>
  </si>
  <si>
    <t>V620050</t>
  </si>
  <si>
    <t>V620060</t>
  </si>
  <si>
    <t>V623500</t>
  </si>
  <si>
    <t>V623505</t>
  </si>
  <si>
    <t>V621500</t>
  </si>
  <si>
    <t>FL-4</t>
  </si>
  <si>
    <t>2436FL</t>
  </si>
  <si>
    <t>PS245</t>
  </si>
  <si>
    <t>PS247</t>
  </si>
  <si>
    <t>IntelliCenter® i10D Dual Equipment Personality Kit</t>
  </si>
  <si>
    <t>522039Z</t>
  </si>
  <si>
    <t>K1100CKC</t>
  </si>
  <si>
    <t>S2046C</t>
  </si>
  <si>
    <t>SOL100</t>
  </si>
  <si>
    <t>1" Black Plastic Valve 24V</t>
  </si>
  <si>
    <t>42001-0053S</t>
  </si>
  <si>
    <t>77707-0010</t>
  </si>
  <si>
    <t>77707-0054</t>
  </si>
  <si>
    <t>42001-0063S</t>
  </si>
  <si>
    <t>42002-0024S</t>
  </si>
  <si>
    <t>42001-0060S</t>
  </si>
  <si>
    <t>472610Z</t>
  </si>
  <si>
    <t>42001-0051S</t>
  </si>
  <si>
    <t>SW-41-061</t>
  </si>
  <si>
    <t>CSPAXI11</t>
  </si>
  <si>
    <t>SQ120R</t>
  </si>
  <si>
    <t>SQ225A</t>
  </si>
  <si>
    <t>NOTES FOR TECH</t>
  </si>
  <si>
    <t>SKU</t>
  </si>
  <si>
    <t>CATEGORY</t>
  </si>
  <si>
    <t>Mfg. Part #</t>
  </si>
  <si>
    <t>DESCRIPTION OF SALES TRANSACTIONS</t>
  </si>
  <si>
    <t>SALES
PRICE</t>
  </si>
  <si>
    <t>TAY-45-1002</t>
  </si>
  <si>
    <t>TAY-45-1003</t>
  </si>
  <si>
    <t>TAY-45-1017</t>
  </si>
  <si>
    <t>TAY-45-1019</t>
  </si>
  <si>
    <t>TAY-45-1018</t>
  </si>
  <si>
    <t>TAY-45-1020</t>
  </si>
  <si>
    <t>TAY-45-1004</t>
  </si>
  <si>
    <t>TAY-45-1001</t>
  </si>
  <si>
    <t>TAY-45-1005</t>
  </si>
  <si>
    <t>TAY-45-1021</t>
  </si>
  <si>
    <t>TAY-45-1022</t>
  </si>
  <si>
    <t>TAY-45-1023</t>
  </si>
  <si>
    <t>TAY-45-1061</t>
  </si>
  <si>
    <t>TAY-45-1099</t>
  </si>
  <si>
    <t>EZC-50-3550</t>
  </si>
  <si>
    <t>LCH-50-1015</t>
  </si>
  <si>
    <t>AAA-50-8646</t>
  </si>
  <si>
    <t>USC-50-1040</t>
  </si>
  <si>
    <t>EZC-50-1090</t>
  </si>
  <si>
    <t>AAA-50-8600</t>
  </si>
  <si>
    <t>CDC-50-1000</t>
  </si>
  <si>
    <t>EZC-50-1067</t>
  </si>
  <si>
    <t>AAA-50-8602</t>
  </si>
  <si>
    <t>REF-50-2430</t>
  </si>
  <si>
    <t>VAN-50-891</t>
  </si>
  <si>
    <t>PBY-50-106</t>
  </si>
  <si>
    <t>AAA-06-190</t>
  </si>
  <si>
    <t>PSL-40-8550</t>
  </si>
  <si>
    <t>ARN-201-1003</t>
  </si>
  <si>
    <t>RAI-40-2342</t>
  </si>
  <si>
    <t>ABB-40-2016</t>
  </si>
  <si>
    <t>RAI-40-2059</t>
  </si>
  <si>
    <t>SKM-40-2808</t>
  </si>
  <si>
    <t>SKM-40-2770</t>
  </si>
  <si>
    <t>TAY-45-1058</t>
  </si>
  <si>
    <t>ADJ-40-208</t>
  </si>
  <si>
    <t>AQC-47-9712</t>
  </si>
  <si>
    <t>AQC-47-2227</t>
  </si>
  <si>
    <t>AQC-45-120</t>
  </si>
  <si>
    <t>ADJ-401-2003</t>
  </si>
  <si>
    <t>ALA-60-1001</t>
  </si>
  <si>
    <t>TCE-56-600</t>
  </si>
  <si>
    <t>AND-56-4563</t>
  </si>
  <si>
    <t>ATM-60-5081</t>
  </si>
  <si>
    <t>PTY-40-2055</t>
  </si>
  <si>
    <t>PTY-40-2070</t>
  </si>
  <si>
    <t>POL-40-2159</t>
  </si>
  <si>
    <t>AMP-30-636</t>
  </si>
  <si>
    <t>PWP-57-7017</t>
  </si>
  <si>
    <t>PWP-57-7018</t>
  </si>
  <si>
    <t>PWP-57-7019</t>
  </si>
  <si>
    <t>PWP-57-7014</t>
  </si>
  <si>
    <t>PWP-57-7015</t>
  </si>
  <si>
    <t>PWP-30-7031</t>
  </si>
  <si>
    <t>GEP-57-9049</t>
  </si>
  <si>
    <t>INT-30-682</t>
  </si>
  <si>
    <t>INT-30-710</t>
  </si>
  <si>
    <t>IPS-60-5250</t>
  </si>
  <si>
    <t>IPS-60-727</t>
  </si>
  <si>
    <t>IPS-60-746</t>
  </si>
  <si>
    <t>IPS-60-743</t>
  </si>
  <si>
    <t>AAA-56-4133</t>
  </si>
  <si>
    <t>AAA-56-4134</t>
  </si>
  <si>
    <t>AAA-56-4169</t>
  </si>
  <si>
    <t>AAA-56-4165</t>
  </si>
  <si>
    <t>AAA-56-4166</t>
  </si>
  <si>
    <t>AAA-56-4170</t>
  </si>
  <si>
    <t>AAA-56-4139</t>
  </si>
  <si>
    <t>AAA-56-4172</t>
  </si>
  <si>
    <t>AAA-56-4173</t>
  </si>
  <si>
    <t>AAA-56-4196</t>
  </si>
  <si>
    <t>AAA-56-4197</t>
  </si>
  <si>
    <t>AAA-56-4207</t>
  </si>
  <si>
    <t>PRA-56-3004</t>
  </si>
  <si>
    <t>LAS-56-6504</t>
  </si>
  <si>
    <t>PRA-56-3005</t>
  </si>
  <si>
    <t>JDY-56-4054</t>
  </si>
  <si>
    <t>JDY-56-4055</t>
  </si>
  <si>
    <t>PAC-56-4107</t>
  </si>
  <si>
    <t>PAC-56-4112</t>
  </si>
  <si>
    <t>LAS-56-4078</t>
  </si>
  <si>
    <t>LAS-56-4061</t>
  </si>
  <si>
    <t>LAS-56-4054</t>
  </si>
  <si>
    <t>LAS-56-4071</t>
  </si>
  <si>
    <t>LAS-56-4092</t>
  </si>
  <si>
    <t>LAS-56-4102</t>
  </si>
  <si>
    <t>LAS-56-4079</t>
  </si>
  <si>
    <t>LAS-56-4055</t>
  </si>
  <si>
    <t>LAS-56-4072</t>
  </si>
  <si>
    <t>LAS-56-4089</t>
  </si>
  <si>
    <t>LAS-56-4095</t>
  </si>
  <si>
    <t>LAS-56-4084</t>
  </si>
  <si>
    <t>LAS-56-4110</t>
  </si>
  <si>
    <t>1 1/2" MPT Sch40 PVC Plug</t>
  </si>
  <si>
    <t>LAS-56-4204</t>
  </si>
  <si>
    <t>LAS-56-4063</t>
  </si>
  <si>
    <t>LAS-56-4240</t>
  </si>
  <si>
    <t>LAS-56-4080</t>
  </si>
  <si>
    <t>LAS-56-4056</t>
  </si>
  <si>
    <t>LAS-56-4096</t>
  </si>
  <si>
    <t>LAS-56-4206</t>
  </si>
  <si>
    <t>2 1/2" x 2" SP x Slip Sch40 Reducer Bushing</t>
  </si>
  <si>
    <t>LAS-56-4104</t>
  </si>
  <si>
    <t>LAS-56-4085</t>
  </si>
  <si>
    <t>LAS-56-4111</t>
  </si>
  <si>
    <t>LAS-56-4099</t>
  </si>
  <si>
    <t>LAS-56-4144</t>
  </si>
  <si>
    <t>LAS-56-4238</t>
  </si>
  <si>
    <t>LAS-56-4239</t>
  </si>
  <si>
    <t>LAS-56-4255</t>
  </si>
  <si>
    <t>LAS-56-4090</t>
  </si>
  <si>
    <t>LAS-56-4655</t>
  </si>
  <si>
    <t>LAS-56-4073</t>
  </si>
  <si>
    <t>LAS-56-0602</t>
  </si>
  <si>
    <t>LAS-56-4220</t>
  </si>
  <si>
    <t>2 1/2" Slip x Slip Sch40 Coupling</t>
  </si>
  <si>
    <t>LAS-56-4208</t>
  </si>
  <si>
    <t>2 1/2" Slip x Slip Sch40 90° Elbow</t>
  </si>
  <si>
    <t>LAS-56-4228</t>
  </si>
  <si>
    <t>2 1/2" Slip Sch40 Cap</t>
  </si>
  <si>
    <t>LAS-56-4261</t>
  </si>
  <si>
    <t>LAS-56-4280</t>
  </si>
  <si>
    <t>LAS-56-4269</t>
  </si>
  <si>
    <t>LAS-56-4258</t>
  </si>
  <si>
    <t>LAS-56-4264</t>
  </si>
  <si>
    <t>LAS-56-4259</t>
  </si>
  <si>
    <t>LAS-56-4288</t>
  </si>
  <si>
    <t>LAS-56-4247</t>
  </si>
  <si>
    <t>LAS-56-4252</t>
  </si>
  <si>
    <t>LAS-56-4285</t>
  </si>
  <si>
    <t>LAS-56-4260</t>
  </si>
  <si>
    <t>LAS-56-4262</t>
  </si>
  <si>
    <t>LAS-56-4263</t>
  </si>
  <si>
    <t>LAS-56-4277</t>
  </si>
  <si>
    <t>LAS-56-4282</t>
  </si>
  <si>
    <t>DPP-56-0566</t>
  </si>
  <si>
    <t>DPP-56-4279</t>
  </si>
  <si>
    <t>LAS-56-4292</t>
  </si>
  <si>
    <t>SPE-56-5353</t>
  </si>
  <si>
    <t>LAS-56-4132</t>
  </si>
  <si>
    <t>SPE-56-5415</t>
  </si>
  <si>
    <t>LAS-56-4133</t>
  </si>
  <si>
    <t>LAS-56-0012</t>
  </si>
  <si>
    <t>LAS-56-0002</t>
  </si>
  <si>
    <t>LAS-56-0082</t>
  </si>
  <si>
    <t>LAS-56-1812</t>
  </si>
  <si>
    <t>LAS-56-0052</t>
  </si>
  <si>
    <t>DPP-56-5399</t>
  </si>
  <si>
    <t>DPP-56-5398</t>
  </si>
  <si>
    <t>CSM-37-5362</t>
  </si>
  <si>
    <t>CSM-37-5363</t>
  </si>
  <si>
    <t>CSM-37-5364</t>
  </si>
  <si>
    <t>CSM-37-5365</t>
  </si>
  <si>
    <t>CSM-37-5440</t>
  </si>
  <si>
    <t>INL-37-5176</t>
  </si>
  <si>
    <t>INL-37-5587</t>
  </si>
  <si>
    <t>INL-37-5120</t>
  </si>
  <si>
    <t>INL-37-5178</t>
  </si>
  <si>
    <t>INL-37-4013</t>
  </si>
  <si>
    <t>INL-37-4015</t>
  </si>
  <si>
    <t>INL-37-4017</t>
  </si>
  <si>
    <t>INL-37-4019</t>
  </si>
  <si>
    <t>INL-37-4036</t>
  </si>
  <si>
    <t>INL-37-4035</t>
  </si>
  <si>
    <t>CSM-37-5443</t>
  </si>
  <si>
    <t>INL-37-5204</t>
  </si>
  <si>
    <t>INL-37-5205</t>
  </si>
  <si>
    <t>INL-37-5206</t>
  </si>
  <si>
    <t>INL-37-5207</t>
  </si>
  <si>
    <t>INL-37-5208</t>
  </si>
  <si>
    <t>INL-37-5245</t>
  </si>
  <si>
    <t>INL-37-5246</t>
  </si>
  <si>
    <t>INL-37-5225</t>
  </si>
  <si>
    <t>PSL-42-3836</t>
  </si>
  <si>
    <t>NSS-42-0000</t>
  </si>
  <si>
    <t>PSL-42-0245</t>
  </si>
  <si>
    <t>PSL-42-0247</t>
  </si>
  <si>
    <t>CTM-45-4030</t>
  </si>
  <si>
    <t>53000-040-000</t>
  </si>
  <si>
    <t>DEL Gen AOP™ 40 Sanitizer System 110/240V</t>
  </si>
  <si>
    <t>CTM-45-4031</t>
  </si>
  <si>
    <t>53000-025-000</t>
  </si>
  <si>
    <t>DEL Gen AOP™ 25 Sanitizer System 110/240V</t>
  </si>
  <si>
    <t>PAC-451-0736</t>
  </si>
  <si>
    <t>PAC-45-0554</t>
  </si>
  <si>
    <t>PAC-45-0555</t>
  </si>
  <si>
    <t>PAC-45-0556</t>
  </si>
  <si>
    <t>PAC-451-0595</t>
  </si>
  <si>
    <t>PAC-45-1105</t>
  </si>
  <si>
    <t>PAC-45-1377</t>
  </si>
  <si>
    <t>PAC-45-0600</t>
  </si>
  <si>
    <t>RAI-45-802</t>
  </si>
  <si>
    <t>R171016</t>
  </si>
  <si>
    <t>RAI-45-1006</t>
  </si>
  <si>
    <t>R171215</t>
  </si>
  <si>
    <t>BLU-56-4036</t>
  </si>
  <si>
    <t>BLU-56-4046</t>
  </si>
  <si>
    <t>BLU-56-4039</t>
  </si>
  <si>
    <t>EMO-56-1002</t>
  </si>
  <si>
    <t>PSL-42-1001</t>
  </si>
  <si>
    <t>RAI-40-2132</t>
  </si>
  <si>
    <t>KEM-42-1083</t>
  </si>
  <si>
    <t>PSL-40-0601</t>
  </si>
  <si>
    <t>LSS-56-4158</t>
  </si>
  <si>
    <t>MAT-56-4173</t>
  </si>
  <si>
    <t>SPG-06-1008</t>
  </si>
  <si>
    <t>SPG-06-1001</t>
  </si>
  <si>
    <t>SRS-35-9719</t>
  </si>
  <si>
    <t>SRS-35-9706</t>
  </si>
  <si>
    <t>SRS-35-720</t>
  </si>
  <si>
    <t>SRS-35-728</t>
  </si>
  <si>
    <t>SRS-35-9709</t>
  </si>
  <si>
    <t>SRS-351-1525</t>
  </si>
  <si>
    <t>SRS-35-9708</t>
  </si>
  <si>
    <t>SRS-351-4158</t>
  </si>
  <si>
    <t>PER-35-729</t>
  </si>
  <si>
    <t>COM-30-0446</t>
  </si>
  <si>
    <t>COM-30-0968</t>
  </si>
  <si>
    <t>COM-30-0984</t>
  </si>
  <si>
    <t>COM-301-0135</t>
  </si>
  <si>
    <t>COM-301-0129</t>
  </si>
  <si>
    <t>COM-30-0550</t>
  </si>
  <si>
    <t>COM-30-699</t>
  </si>
  <si>
    <t>COM-30-6338</t>
  </si>
  <si>
    <t>COM-30-1885</t>
  </si>
  <si>
    <t>COM-30-1887</t>
  </si>
  <si>
    <t>COM-30-1178</t>
  </si>
  <si>
    <t>COM-30-1176</t>
  </si>
  <si>
    <t>COM-30-1180</t>
  </si>
  <si>
    <t>COM-30-747</t>
  </si>
  <si>
    <t>GIP-56-1104</t>
  </si>
  <si>
    <t>GIP-56-719</t>
  </si>
  <si>
    <t>GIP-56-714</t>
  </si>
  <si>
    <t>COM-30-8031</t>
  </si>
  <si>
    <t>COM-30-2104</t>
  </si>
  <si>
    <t>AMP-30-1310</t>
  </si>
  <si>
    <t>AMP-30-2041</t>
  </si>
  <si>
    <t>AMP-30-2024</t>
  </si>
  <si>
    <t>AMP-30-2033</t>
  </si>
  <si>
    <t>AMP-30-2042</t>
  </si>
  <si>
    <t>AMP-30-2060</t>
  </si>
  <si>
    <t>AMP-30-2023</t>
  </si>
  <si>
    <t>AMP-30-2032</t>
  </si>
  <si>
    <t>AMP-30-2025</t>
  </si>
  <si>
    <t>AMP-30-2043</t>
  </si>
  <si>
    <t>AMP-30-2059</t>
  </si>
  <si>
    <t>AMP-30-2052</t>
  </si>
  <si>
    <t>AMP-30-1311</t>
  </si>
  <si>
    <t>AMP-30-1313</t>
  </si>
  <si>
    <t>AMP-30-1309</t>
  </si>
  <si>
    <t>AMP-30-1314</t>
  </si>
  <si>
    <t>AMP-30-1312</t>
  </si>
  <si>
    <t>AMP-301-1221</t>
  </si>
  <si>
    <t>AMP-301-1253</t>
  </si>
  <si>
    <t>AMP-30-7013</t>
  </si>
  <si>
    <t>AMP-30-6094</t>
  </si>
  <si>
    <t>AMP-30-6093</t>
  </si>
  <si>
    <t>PAC-27-0001</t>
  </si>
  <si>
    <t>580001T</t>
  </si>
  <si>
    <t>BSM-301-1041</t>
  </si>
  <si>
    <t>VLB3500-WT</t>
  </si>
  <si>
    <t>BSM-301-1033</t>
  </si>
  <si>
    <t>VLB2500-WT</t>
  </si>
  <si>
    <t>BSM-301-1040</t>
  </si>
  <si>
    <t>VLB3500-MC</t>
  </si>
  <si>
    <t>BSM-301-1032</t>
  </si>
  <si>
    <t>VLB2500-MC</t>
  </si>
  <si>
    <t>PUR-15-0737</t>
  </si>
  <si>
    <t>PUR-15-0733</t>
  </si>
  <si>
    <t>STA-151-6254</t>
  </si>
  <si>
    <t>STA-151-6257</t>
  </si>
  <si>
    <t>STA-151-6259</t>
  </si>
  <si>
    <t>STA-151-6255</t>
  </si>
  <si>
    <t>STA-151-6279</t>
  </si>
  <si>
    <t>PUR-151-0974</t>
  </si>
  <si>
    <t>STA-151-6251</t>
  </si>
  <si>
    <t>PUR-151-1510</t>
  </si>
  <si>
    <t>STA-151-6250</t>
  </si>
  <si>
    <t>PUR-151-0748</t>
  </si>
  <si>
    <t>SDC-151-0011</t>
  </si>
  <si>
    <t>CFZ-15-406</t>
  </si>
  <si>
    <t>RHM-15-7132</t>
  </si>
  <si>
    <t>PUR-15-0958</t>
  </si>
  <si>
    <t>PAC-25-1629</t>
  </si>
  <si>
    <t>WHITE GOODS</t>
  </si>
  <si>
    <t>2" Bermuda™ Skimmer Slip Port PVC White</t>
  </si>
  <si>
    <t>AMP-25-1609</t>
  </si>
  <si>
    <t>2" Admiral™ S20 Skimmer Flap Weir No Equalizer Threaded Port White</t>
  </si>
  <si>
    <t>API-25-1005</t>
  </si>
  <si>
    <t>SKR101-L</t>
  </si>
  <si>
    <t>Aquastar White Skimmer With 6" Bucket 9" Basket</t>
  </si>
  <si>
    <t>PAC-251-1232</t>
  </si>
  <si>
    <t>516252Z</t>
  </si>
  <si>
    <t>White Bermuda™ Gunite Skimmers Weir Gate Assembly</t>
  </si>
  <si>
    <t>HAY-251-1894</t>
  </si>
  <si>
    <t>SPX1070C</t>
  </si>
  <si>
    <t>White Skimmer Lid</t>
  </si>
  <si>
    <t>SPG-601-0200</t>
  </si>
  <si>
    <t>27180-200-000</t>
  </si>
  <si>
    <t>ADMIRAL S20 TAPERED SKIMMER BASKET</t>
  </si>
  <si>
    <t>HAY-251-1913</t>
  </si>
  <si>
    <t>SPX1082E</t>
  </si>
  <si>
    <t>White Square Skimmer Lid</t>
  </si>
  <si>
    <t>AMP-251-1260</t>
  </si>
  <si>
    <t>Admiral™ S20 Wedge Skimmers Molded Flap Weir</t>
  </si>
  <si>
    <t>PAC-251-6128</t>
  </si>
  <si>
    <t>White Bermuda™ Gunite Skimmers Deck Lid</t>
  </si>
  <si>
    <t>AMP-251-1256</t>
  </si>
  <si>
    <t>9" Diameter Admiral™ S20 Wedge Skimmers Ring Seat</t>
  </si>
  <si>
    <t>PAC-251-5754</t>
  </si>
  <si>
    <t>White Bermuda™ Gunite Skimmers Deck Extension Collar</t>
  </si>
  <si>
    <t>HAY-251-1929</t>
  </si>
  <si>
    <t>SPX1084R</t>
  </si>
  <si>
    <t>White Round Skimmer Lid</t>
  </si>
  <si>
    <t>HAY-251-1914</t>
  </si>
  <si>
    <t>SPX1082F</t>
  </si>
  <si>
    <t>Square Adjusting Collar</t>
  </si>
  <si>
    <t>CTM-251-3000</t>
  </si>
  <si>
    <t>25506-320-000</t>
  </si>
  <si>
    <t>32" White VGB Unblockable Channel Main Drain and Sump</t>
  </si>
  <si>
    <t>ANA-25-0228</t>
  </si>
  <si>
    <t>White AVSC Dual Suction Pebble Top Channel Drain</t>
  </si>
  <si>
    <t>SPG-25-0108</t>
  </si>
  <si>
    <t>25537-000-000</t>
  </si>
  <si>
    <t>8" White Round Anti-Vortex Main Drain Flat Frame and Grate</t>
  </si>
  <si>
    <t>SPG-25-8008</t>
  </si>
  <si>
    <t>SG6404720 V</t>
  </si>
  <si>
    <t>12" x 12" Square White Anti-Vortex Main Drain Frame &amp; Grate</t>
  </si>
  <si>
    <t>SPG-25-5531</t>
  </si>
  <si>
    <t>CC8101</t>
  </si>
  <si>
    <t>8" White Color Choice® Suction Outlet Cover with Screw Kit</t>
  </si>
  <si>
    <t>SPG-25-5538</t>
  </si>
  <si>
    <t>CC10101</t>
  </si>
  <si>
    <t>10" White Color Choice® Suction Outlet Cover with Screw Kit</t>
  </si>
  <si>
    <t>HAY-25-1041</t>
  </si>
  <si>
    <t>WG1153AVPAK2</t>
  </si>
  <si>
    <t>1 1/2" x 2" White, Dual Suction Outlet with AV Grate 2 per Pack</t>
  </si>
  <si>
    <t>HAY-25-1024</t>
  </si>
  <si>
    <t>WG1154SPAK2</t>
  </si>
  <si>
    <t>2" SKT x 2" FIP 8" Round Dual Suction Outlet with Adjustable Collar 2 per Pack</t>
  </si>
  <si>
    <t>WWP-25-8000</t>
  </si>
  <si>
    <t>640-2320 V</t>
  </si>
  <si>
    <t>POOL DRAIN ASSY/ W GRATED A/V COV VGB2008.</t>
  </si>
  <si>
    <t>WWP-25-1360</t>
  </si>
  <si>
    <t>640-1360 V</t>
  </si>
  <si>
    <t>32" Diamond Strip Drain Concrete White</t>
  </si>
  <si>
    <t>SWQ-251-2812</t>
  </si>
  <si>
    <t>08417-0000</t>
  </si>
  <si>
    <t>2" White SwimQuip Floor Inlet Fitting Slip with 1.5" Slip Bushing</t>
  </si>
  <si>
    <t>SPG-25-2055</t>
  </si>
  <si>
    <t>25559-001-000</t>
  </si>
  <si>
    <t>Gray Self-Aligning Aussie Insider Fittings</t>
  </si>
  <si>
    <t>HAY-101-2013</t>
  </si>
  <si>
    <t>SPX1600M</t>
  </si>
  <si>
    <t>Super Pump Basket</t>
  </si>
  <si>
    <t>PAC-101-7230</t>
  </si>
  <si>
    <t>Pinnacle Large Strainer Basket</t>
  </si>
  <si>
    <t>SPG-601-0199</t>
  </si>
  <si>
    <t>27180-199-000</t>
  </si>
  <si>
    <t>WHISPERFLO STRAINER BASKET</t>
  </si>
  <si>
    <t>SPH-25-368</t>
  </si>
  <si>
    <t>PTFR-03</t>
  </si>
  <si>
    <t>2"S LIGHT GRY ADJ PEBBLE TOP FLOOR INLET</t>
  </si>
  <si>
    <t>HAY-25-1038</t>
  </si>
  <si>
    <t>WG1054AVPAK2</t>
  </si>
  <si>
    <t>2" FPT White Dual Suction Outlet with Grate 2 per Pack</t>
  </si>
  <si>
    <t>SPG-25-0303</t>
  </si>
  <si>
    <t>25560-004-000</t>
  </si>
  <si>
    <t>1.5"MPT BLACK SAFETY GRATE INSERT</t>
  </si>
  <si>
    <t>SPH-25-369</t>
  </si>
  <si>
    <t>PTFR-05</t>
  </si>
  <si>
    <t>2"S DARK GRY ADJ PEBBLE TOP FLOOR INLET</t>
  </si>
  <si>
    <t>SPH-25-367</t>
  </si>
  <si>
    <t>PTFR-02</t>
  </si>
  <si>
    <t>2"S BLACK ADJ PEBBLE TOP FLOOR INLET</t>
  </si>
  <si>
    <t>SPH-25-366</t>
  </si>
  <si>
    <t>PTFR-01</t>
  </si>
  <si>
    <t>2"S WHITE ADJ PEBBLE TOP FLOOR INLET</t>
  </si>
  <si>
    <t>SPH-25-001</t>
  </si>
  <si>
    <t>TEF01-15</t>
  </si>
  <si>
    <t>1.5"MPT WHITE EYEBALL FITTING</t>
  </si>
  <si>
    <t>SPG-25-308</t>
  </si>
  <si>
    <t>8-PTD-102A</t>
  </si>
  <si>
    <t>8" BLACK AV PEBBLETOP FRAME &amp; GRATE</t>
  </si>
  <si>
    <t>CTM-25-1115</t>
  </si>
  <si>
    <t>25506-331-000</t>
  </si>
  <si>
    <t>20" Gray Round Unblockable Drain with Sump</t>
  </si>
  <si>
    <t>CTM-25-1112</t>
  </si>
  <si>
    <t>25506-330-000</t>
  </si>
  <si>
    <t>20" White Round Unblockable Complete Drain with Sump</t>
  </si>
  <si>
    <t>CTM-25-1113</t>
  </si>
  <si>
    <t>25506-334-000</t>
  </si>
  <si>
    <t>20" Round Unblockable Drain W/ Sump-Blac</t>
  </si>
  <si>
    <t>CTM-251-3007</t>
  </si>
  <si>
    <t>25506-321-800</t>
  </si>
  <si>
    <t>Gray Cover Only with Screws for 32" Channel Main Drain</t>
  </si>
  <si>
    <t>CTM-251-3019</t>
  </si>
  <si>
    <t>25506-320-100</t>
  </si>
  <si>
    <t>White Cover and Frame for 32" Channel Main Drain</t>
  </si>
  <si>
    <t>CTM-251-3021</t>
  </si>
  <si>
    <t>25506-324-100</t>
  </si>
  <si>
    <t>Black Cover and Frame for 32" Channel Main Drain</t>
  </si>
  <si>
    <t>CTM-251-3008</t>
  </si>
  <si>
    <t>25506-324-800</t>
  </si>
  <si>
    <t>Black Cover Only with Screws for 32" Channel Main Drain</t>
  </si>
  <si>
    <t>CTM-251-3020</t>
  </si>
  <si>
    <t>25506-321-100</t>
  </si>
  <si>
    <t>Gray Cover and Frame for 32" Channel Main Drain</t>
  </si>
  <si>
    <t>CTM-251-3009</t>
  </si>
  <si>
    <t>25506-327-800</t>
  </si>
  <si>
    <t>32in Channel Drain Cover w/Screws, DkGr</t>
  </si>
  <si>
    <t>CTM-251-3022</t>
  </si>
  <si>
    <t>25506-327-100</t>
  </si>
  <si>
    <t>Dark Gray Cover and Frame for 32" Channel Main Drain</t>
  </si>
  <si>
    <t>CTM-251-3001</t>
  </si>
  <si>
    <t>25506-321-000</t>
  </si>
  <si>
    <t>32" Gray VGB Unblockable Channel Main Drain and Sump</t>
  </si>
  <si>
    <t>CTM-251-3002</t>
  </si>
  <si>
    <t>25506-324-000</t>
  </si>
  <si>
    <t>32" Black VGB Unblockable Channel Main Drain and Sump</t>
  </si>
  <si>
    <t>API-25-1062</t>
  </si>
  <si>
    <t>Return Fitting with Water Stop</t>
  </si>
  <si>
    <t>SPH-25-1016</t>
  </si>
  <si>
    <t>TWFCLR02</t>
  </si>
  <si>
    <t>2" CLEAR  AND WHITE THREADED WALL FITTING</t>
  </si>
  <si>
    <t>SPH-25-1017</t>
  </si>
  <si>
    <t>SQFM-CLR</t>
  </si>
  <si>
    <t>SQUARE CLEAR FLUSH MOUNT RETURN FITTING</t>
  </si>
  <si>
    <t>SPG-25-8997</t>
  </si>
  <si>
    <t>25559-200-000</t>
  </si>
  <si>
    <t>2" White Self-Aligning Aussie Insider with 1-1/4" Eye Opening</t>
  </si>
  <si>
    <t>PAC-25-1560</t>
  </si>
  <si>
    <t>1.5" Slip Inlet Economy Insider White</t>
  </si>
  <si>
    <t>CTM-25-0120</t>
  </si>
  <si>
    <t>25609-301-000</t>
  </si>
  <si>
    <t>1-1/2in Slip Inlet w/Snap in (3/4in) Gy</t>
  </si>
  <si>
    <t>API-25-1880</t>
  </si>
  <si>
    <t>White Three-Piece Directional Eyeball Fitting 2" Knock-In</t>
  </si>
  <si>
    <t>SPG-25-0116</t>
  </si>
  <si>
    <t>25527-100-000</t>
  </si>
  <si>
    <t>2" SKT White Floor Inlet Fitting with 1.5" Reducer</t>
  </si>
  <si>
    <t>CTM-25-9221</t>
  </si>
  <si>
    <t>25527-104-000</t>
  </si>
  <si>
    <t>2" Socket Black Adjustable Floor Inlet Fitting with 1.5" Reducer</t>
  </si>
  <si>
    <t>HAY-25-1546</t>
  </si>
  <si>
    <t>SP1419D</t>
  </si>
  <si>
    <t>1 1/2" MIP 3/4" Opening White Hydrostream Fitting</t>
  </si>
  <si>
    <t>SPG-25-0010</t>
  </si>
  <si>
    <t>25524-200-000</t>
  </si>
  <si>
    <t>1.5" MPT White Wall Fitting with 2" Socket</t>
  </si>
  <si>
    <t>SPG-25-0302</t>
  </si>
  <si>
    <t>25560-001-000</t>
  </si>
  <si>
    <t>1.5" MPT Gray Safety Grate Insert Fitting</t>
  </si>
  <si>
    <t>SPG-25-0011</t>
  </si>
  <si>
    <t>25524-204-000</t>
  </si>
  <si>
    <t>1.5" MPT Black Wall Fitting with 2" Socket</t>
  </si>
  <si>
    <t>HAY-25-1699</t>
  </si>
  <si>
    <t>25552-204-000</t>
  </si>
  <si>
    <t>1 1/2" MPT .5" Opening Black Hydrostream Fitting</t>
  </si>
  <si>
    <t>PAC-25-1603</t>
  </si>
  <si>
    <t>1.5" Slip Inlet Economy Insider Black</t>
  </si>
  <si>
    <t>HAY-85-8137</t>
  </si>
  <si>
    <t>SP1434PAKB</t>
  </si>
  <si>
    <t>White, VariFlo Adjustable Nozzle Assembly</t>
  </si>
  <si>
    <t>HAY-85-8136</t>
  </si>
  <si>
    <t>SP1434PAKA</t>
  </si>
  <si>
    <t>1 1/2" x 1 1/2" JetAir III Jet Body with Bulkhead</t>
  </si>
  <si>
    <t>WWP-85-3420</t>
  </si>
  <si>
    <t>210-3420G</t>
  </si>
  <si>
    <t>7" Gunite Power Seat Kit 3-Jet Manifold for Poly and Power Storm</t>
  </si>
  <si>
    <t>WWP-85-8915</t>
  </si>
  <si>
    <t>211-3040</t>
  </si>
  <si>
    <t>2.5" Power Storm Thread-In Gunite Body Assembly Straight Body Only</t>
  </si>
  <si>
    <t>WWP-85-8198</t>
  </si>
  <si>
    <t>425-5031</t>
  </si>
  <si>
    <t>GUNITE POLY JET NICHE ADAPTER - BLACK</t>
  </si>
  <si>
    <t>WWP-851-8613</t>
  </si>
  <si>
    <t>229-1110</t>
  </si>
  <si>
    <t>Poly Storm Thread-In Gunite Jet Tee Body Assembly</t>
  </si>
  <si>
    <t>WWP-851-8615</t>
  </si>
  <si>
    <t>215-1390</t>
  </si>
  <si>
    <t>White Poly Storm Thread-In Style Wall Fitting</t>
  </si>
  <si>
    <t>WWP-851-9724</t>
  </si>
  <si>
    <t>212-7607S</t>
  </si>
  <si>
    <t>Gray Stainless Steel Roto Power Storm Jet Internal</t>
  </si>
  <si>
    <t>WWP-85-8631</t>
  </si>
  <si>
    <t>229-8057</t>
  </si>
  <si>
    <t>Thread-in 5-Scallop Directional Poly Storm Gunite Jet Internal Gray</t>
  </si>
  <si>
    <t>WWP-85-1006</t>
  </si>
  <si>
    <t>212-8010S</t>
  </si>
  <si>
    <t>Poly Storm Jet Internal</t>
  </si>
  <si>
    <t>WWP-85-8089</t>
  </si>
  <si>
    <t>425-5030</t>
  </si>
  <si>
    <t>GUNITE POLY JET NICHE ADAPTER - WHITE</t>
  </si>
  <si>
    <t>WWP-85-8099</t>
  </si>
  <si>
    <t>212-4700</t>
  </si>
  <si>
    <t>GUNITE RETAINER RING ASSEMBLY</t>
  </si>
  <si>
    <t>WWP-851-8061</t>
  </si>
  <si>
    <t>425-5037</t>
  </si>
  <si>
    <t>Gray Gunite Jet Niche</t>
  </si>
  <si>
    <t>SGM-37-1039</t>
  </si>
  <si>
    <t>CONSTRUCTION MATERIALS</t>
  </si>
  <si>
    <t>PBC332</t>
  </si>
  <si>
    <t>80 lb Cool Blue Diamond Brite® Exposed Aggregate Pool Finish</t>
  </si>
  <si>
    <t>SGM-37-1079</t>
  </si>
  <si>
    <t>PBC337</t>
  </si>
  <si>
    <t>80 lb Super Blue Diamond Brite Exposed Aggregate Pool Finish</t>
  </si>
  <si>
    <t>SGM-37-1043</t>
  </si>
  <si>
    <t>PBC315</t>
  </si>
  <si>
    <t>80 lb Midnight Blue Diamond Brite® Exposed Aggregate Pool Finish</t>
  </si>
  <si>
    <t>SGM-37-1045</t>
  </si>
  <si>
    <t>PBC320</t>
  </si>
  <si>
    <t>80 lb French Gray Diamond Brite® Exposed Aggregate Pool Finish</t>
  </si>
  <si>
    <t>SGM-37-1049</t>
  </si>
  <si>
    <t>PBC309</t>
  </si>
  <si>
    <t>80 lb Blue Quartz Diamond Brite® Exposed Aggregate Pool Finish</t>
  </si>
  <si>
    <t>SGM-37-1044</t>
  </si>
  <si>
    <t>PBC316</t>
  </si>
  <si>
    <t>80 lb Onyx Diamond Brite® Exposed Aggregate Pool Finish</t>
  </si>
  <si>
    <t>SGM-37-1053</t>
  </si>
  <si>
    <t>PBC317</t>
  </si>
  <si>
    <t>80 lb Aqua Quartz Diamond Brite® Exposed Aggregate Pool Finish</t>
  </si>
  <si>
    <t>SGM-37-1050</t>
  </si>
  <si>
    <t>PBC335</t>
  </si>
  <si>
    <t>80 lb Aqua Blue Diamond Brite® Exposed Aggregate Pool Finish</t>
  </si>
  <si>
    <t>SGM-37-1048</t>
  </si>
  <si>
    <t>PBC324</t>
  </si>
  <si>
    <t>80 lb Ivory Diamond Brite® Exposed Aggregate Pool Finish</t>
  </si>
  <si>
    <t>SGM-37-1004</t>
  </si>
  <si>
    <t>PBBK5</t>
  </si>
  <si>
    <t>5 gal Bond Kote™ Liquid Resin Surface Preparation</t>
  </si>
  <si>
    <t>SGM-37-1005</t>
  </si>
  <si>
    <t>PBBKP</t>
  </si>
  <si>
    <t>65 lb Powder Gray One-Step Bond Kote® Surface Preparation</t>
  </si>
  <si>
    <t>BTH-37-1001</t>
  </si>
  <si>
    <t>BC-LO145</t>
  </si>
  <si>
    <t>5 gal Basecrete Liquid Waterproofing Bondcoat Part 1</t>
  </si>
  <si>
    <t>BTH-37-1002</t>
  </si>
  <si>
    <t>BC-G0250</t>
  </si>
  <si>
    <t>50 lb Gray Basecrete Dry Powder Waterproofing Bondcoat Part 2</t>
  </si>
  <si>
    <t>WIR-30-3001</t>
  </si>
  <si>
    <t>4.5#/BOX GUNITE WIRE</t>
  </si>
  <si>
    <t>PAC-05-507</t>
  </si>
  <si>
    <t>PAC-05-506</t>
  </si>
  <si>
    <t>PAC-05-502</t>
  </si>
  <si>
    <t>PAC-05-0355</t>
  </si>
  <si>
    <t>PAC-05-504</t>
  </si>
  <si>
    <t>PLF27000</t>
  </si>
  <si>
    <t>Pipeline Filter for 27,000 gal Pool</t>
  </si>
  <si>
    <t>PAC-051-0178</t>
  </si>
  <si>
    <t>AMP-051-4016</t>
  </si>
  <si>
    <t>PAC-051-1646</t>
  </si>
  <si>
    <t>PAC-05-182</t>
  </si>
  <si>
    <t>RAI-051-5000</t>
  </si>
  <si>
    <t>PAC-05-509</t>
  </si>
  <si>
    <t>PAC-05-500</t>
  </si>
  <si>
    <t>PLE-051-3036</t>
  </si>
  <si>
    <t>AMP-051-7905</t>
  </si>
  <si>
    <t>PAC-051-8733</t>
  </si>
  <si>
    <t>PAC-051-1303</t>
  </si>
  <si>
    <t>AMP-061-1148</t>
  </si>
  <si>
    <t>AMP-051-1245</t>
  </si>
  <si>
    <t>PLE-051-3035</t>
  </si>
  <si>
    <t>PLE-051-3037</t>
  </si>
  <si>
    <t>PAC-051-0320</t>
  </si>
  <si>
    <t>RAI-051-4201</t>
  </si>
  <si>
    <t>PAC-051-1400</t>
  </si>
  <si>
    <t>PLE-051-3011</t>
  </si>
  <si>
    <t>ALT-C-7471-4</t>
  </si>
  <si>
    <t>ALT-C-7470-4</t>
  </si>
  <si>
    <t>PLE-051-3009</t>
  </si>
  <si>
    <t>PLE-051-9364</t>
  </si>
  <si>
    <t>PLE-051-0090</t>
  </si>
  <si>
    <t>AMP-061-1076</t>
  </si>
  <si>
    <t>STA-061-9680</t>
  </si>
  <si>
    <t>FBM-051-6410</t>
  </si>
  <si>
    <t>STA-05-228</t>
  </si>
  <si>
    <t>25022-0203S</t>
  </si>
  <si>
    <t>259 SqFt S8M150 Large Replacement Outer Cartridge</t>
  </si>
  <si>
    <t>PUR-10-414</t>
  </si>
  <si>
    <t>PAC-10-2002</t>
  </si>
  <si>
    <t>PUR-10-1075</t>
  </si>
  <si>
    <t>PUR-10-1076</t>
  </si>
  <si>
    <t>PUR-10-1019</t>
  </si>
  <si>
    <t>PUR-10-3105</t>
  </si>
  <si>
    <t>PUR-101-3617</t>
  </si>
  <si>
    <t>356365Z</t>
  </si>
  <si>
    <t>Relay Control Board Kit for IntelliFlo3®/IntelliPro3® VS Pumps</t>
  </si>
  <si>
    <t>PAC-10-7703</t>
  </si>
  <si>
    <t>PAC-10-7707</t>
  </si>
  <si>
    <t>PAC-10-7730</t>
  </si>
  <si>
    <t>PAC-10-7733</t>
  </si>
  <si>
    <t>PAC-10-7720</t>
  </si>
  <si>
    <t>PAC-10-7702</t>
  </si>
  <si>
    <t>PUR-101-4892</t>
  </si>
  <si>
    <t>SPG-601-6101</t>
  </si>
  <si>
    <t>PUR-101-3646</t>
  </si>
  <si>
    <t>PUR-101-3647</t>
  </si>
  <si>
    <t>PAC-45-0552</t>
  </si>
  <si>
    <t>AIR-85-8425</t>
  </si>
  <si>
    <t>AIR-85-8464</t>
  </si>
  <si>
    <t>AIR-85-8463</t>
  </si>
  <si>
    <t>AIR-85-8462</t>
  </si>
  <si>
    <r>
      <rPr>
        <sz val="10"/>
        <color rgb="FF000000"/>
        <rFont val="Futura Medium"/>
      </rPr>
      <t>ALT-C-7471-4</t>
    </r>
  </si>
  <si>
    <t>Column1</t>
  </si>
  <si>
    <t>Column2</t>
  </si>
  <si>
    <t>CHRIS</t>
  </si>
  <si>
    <t>TECH NAME</t>
  </si>
  <si>
    <t>NOTES FOR BILLING</t>
  </si>
  <si>
    <t>V30101N</t>
  </si>
  <si>
    <t>3" Gray Slip x Slip Full Block True Union Ball Valve</t>
  </si>
  <si>
    <t>IntelliChlor LT25 Salt Chlorine Generator Cell 25K gal</t>
  </si>
  <si>
    <t>IntelliChlor Plus40 Salt Chlorine Generator Cell 40K gal</t>
  </si>
  <si>
    <t>R173217</t>
  </si>
  <si>
    <t>200 SqFt Clean and Clear® Replacement Cartridge Element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</si>
</sst>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8" formatCode="&quot;$&quot;#,##0.00_);[Red]\(&quot;$&quot;#,##0.00\)"/>
    <numFmt numFmtId="164" formatCode="&quot;$&quot;#,##0.00"/>
  </numFmts>
  <fonts count="1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0"/>
      <color rgb="FF000000"/>
      <name val="Futura Medium"/>
    </font>
    <font>
      <sz val="10"/>
      <color theme="1"/>
      <name val="Futura Medium"/>
    </font>
    <font>
      <sz val="10"/>
      <color rgb="FF212121"/>
      <name val="Futura Medium"/>
    </font>
    <font>
      <b/>
      <sz val="10"/>
      <color theme="1"/>
      <name val="Futura Medium"/>
    </font>
    <font>
      <sz val="8"/>
      <color rgb="FF000000"/>
      <name val="Futura Medium"/>
    </font>
    <font>
      <sz val="8"/>
      <color theme="1"/>
      <name val="Aptos Narrow"/>
      <family val="2"/>
      <scheme val="minor"/>
    </font>
    <font>
      <sz val="9"/>
      <color theme="1"/>
      <name val="Futura Medium"/>
    </font>
    <font>
      <sz val="10"/>
      <color indexed="8"/>
      <name val="Futura Medium"/>
    </font>
    <font>
      <u/>
      <sz val="12"/>
      <color theme="10"/>
      <name val="Aptos Narrow"/>
      <family val="2"/>
      <scheme val="minor"/>
    </font>
    <font>
      <b/>
      <sz val="10"/>
      <color rgb="FF000000"/>
      <name val="Futura Medium"/>
    </font>
    <font>
      <b/>
      <sz val="10"/>
      <color rgb="FF212121"/>
      <name val="Futura Medium"/>
    </font>
    <font>
      <b/>
      <u/>
      <sz val="10"/>
      <color rgb="FF0563C1"/>
      <name val="Futura Medium"/>
    </font>
    <font>
      <b/>
      <u/>
      <sz val="10"/>
      <color rgb="FF4472C4"/>
      <name val="Futura Medium"/>
    </font>
    <font>
      <b/>
      <sz val="12"/>
      <color theme="9"/>
      <name val="Aptos Narrow"/>
      <family val="2"/>
      <scheme val="minor"/>
    </font>
    <font>
      <b/>
      <sz val="12"/>
      <color theme="5"/>
      <name val="Aptos Narrow"/>
      <family val="2"/>
      <scheme val="minor"/>
    </font>
    <font>
      <sz val="12"/>
      <color rgb="FF212121"/>
      <name val="Futura Medium"/>
    </font>
    <font>
      <sz val="12"/>
      <color theme="1"/>
      <name val="Futura Medium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/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/>
    <xf numFmtId="14" fontId="3" fillId="2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vertical="top"/>
    </xf>
    <xf numFmtId="20" fontId="3" fillId="0" borderId="1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/>
    </xf>
    <xf numFmtId="0" fontId="2" fillId="0" borderId="1" xfId="0" applyFont="1" applyBorder="1"/>
    <xf numFmtId="0" fontId="2" fillId="0" borderId="9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3" fillId="0" borderId="1" xfId="0" applyFont="1" applyBorder="1"/>
    <xf numFmtId="0" fontId="2" fillId="0" borderId="1" xfId="0" applyFont="1" applyBorder="1" applyAlignment="1">
      <alignment horizontal="left"/>
    </xf>
    <xf numFmtId="0" fontId="7" fillId="0" borderId="0" xfId="0" applyFont="1"/>
    <xf numFmtId="164" fontId="5" fillId="0" borderId="1" xfId="0" applyNumberFormat="1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4" fillId="0" borderId="1" xfId="0" applyFont="1" applyBorder="1"/>
    <xf numFmtId="164" fontId="0" fillId="0" borderId="0" xfId="0" applyNumberFormat="1"/>
    <xf numFmtId="0" fontId="2" fillId="0" borderId="0" xfId="0" applyFont="1"/>
    <xf numFmtId="49" fontId="3" fillId="0" borderId="1" xfId="0" applyNumberFormat="1" applyFont="1" applyBorder="1" applyAlignment="1">
      <alignment horizontal="left" vertical="top"/>
    </xf>
    <xf numFmtId="49" fontId="3" fillId="0" borderId="1" xfId="0" applyNumberFormat="1" applyFont="1" applyBorder="1" applyAlignment="1">
      <alignment vertical="top"/>
    </xf>
    <xf numFmtId="164" fontId="3" fillId="0" borderId="1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 vertical="top"/>
    </xf>
    <xf numFmtId="0" fontId="4" fillId="0" borderId="1" xfId="0" applyFont="1" applyBorder="1" applyAlignment="1">
      <alignment horizontal="left"/>
    </xf>
    <xf numFmtId="8" fontId="4" fillId="0" borderId="1" xfId="0" applyNumberFormat="1" applyFont="1" applyBorder="1" applyAlignment="1">
      <alignment horizontal="left"/>
    </xf>
    <xf numFmtId="0" fontId="11" fillId="0" borderId="3" xfId="0" applyFont="1" applyBorder="1"/>
    <xf numFmtId="49" fontId="11" fillId="0" borderId="3" xfId="0" applyNumberFormat="1" applyFont="1" applyBorder="1" applyAlignment="1">
      <alignment vertical="top"/>
    </xf>
    <xf numFmtId="0" fontId="12" fillId="0" borderId="3" xfId="0" applyFont="1" applyBorder="1"/>
    <xf numFmtId="0" fontId="13" fillId="0" borderId="3" xfId="1" applyFont="1" applyFill="1" applyBorder="1"/>
    <xf numFmtId="0" fontId="14" fillId="0" borderId="3" xfId="1" applyFont="1" applyFill="1" applyBorder="1"/>
    <xf numFmtId="0" fontId="4" fillId="0" borderId="3" xfId="0" applyFont="1" applyBorder="1"/>
    <xf numFmtId="164" fontId="3" fillId="0" borderId="4" xfId="0" applyNumberFormat="1" applyFont="1" applyBorder="1"/>
    <xf numFmtId="49" fontId="11" fillId="0" borderId="9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49" fontId="11" fillId="0" borderId="10" xfId="0" applyNumberFormat="1" applyFont="1" applyBorder="1" applyAlignment="1">
      <alignment horizontal="center" vertical="center"/>
    </xf>
    <xf numFmtId="0" fontId="11" fillId="0" borderId="10" xfId="0" applyFont="1" applyBorder="1" applyAlignment="1">
      <alignment horizontal="left" wrapText="1"/>
    </xf>
    <xf numFmtId="164" fontId="3" fillId="0" borderId="11" xfId="0" applyNumberFormat="1" applyFont="1" applyBorder="1"/>
    <xf numFmtId="0" fontId="11" fillId="0" borderId="12" xfId="0" applyFont="1" applyBorder="1"/>
    <xf numFmtId="0" fontId="3" fillId="0" borderId="5" xfId="0" applyFont="1" applyBorder="1"/>
    <xf numFmtId="0" fontId="2" fillId="0" borderId="5" xfId="0" applyFont="1" applyBorder="1" applyAlignment="1">
      <alignment horizontal="left"/>
    </xf>
    <xf numFmtId="0" fontId="2" fillId="0" borderId="5" xfId="0" applyFont="1" applyBorder="1"/>
    <xf numFmtId="164" fontId="2" fillId="0" borderId="5" xfId="0" applyNumberFormat="1" applyFont="1" applyBorder="1" applyAlignment="1">
      <alignment horizontal="left"/>
    </xf>
    <xf numFmtId="164" fontId="3" fillId="0" borderId="13" xfId="0" applyNumberFormat="1" applyFont="1" applyBorder="1"/>
    <xf numFmtId="0" fontId="3" fillId="0" borderId="0" xfId="0" applyFont="1"/>
    <xf numFmtId="0" fontId="2" fillId="0" borderId="0" xfId="0" applyFont="1" applyAlignment="1">
      <alignment horizontal="left"/>
    </xf>
    <xf numFmtId="0" fontId="5" fillId="2" borderId="5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0" fontId="11" fillId="0" borderId="10" xfId="0" applyFont="1" applyBorder="1" applyAlignment="1">
      <alignment horizontal="center" wrapText="1"/>
    </xf>
    <xf numFmtId="2" fontId="3" fillId="0" borderId="1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7" fillId="0" borderId="0" xfId="0" applyNumberFormat="1" applyFont="1" applyAlignment="1">
      <alignment horizontal="center"/>
    </xf>
    <xf numFmtId="2" fontId="2" fillId="0" borderId="1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5" xfId="0" applyNumberFormat="1" applyFont="1" applyBorder="1" applyAlignment="1">
      <alignment horizontal="center"/>
    </xf>
    <xf numFmtId="1" fontId="3" fillId="2" borderId="1" xfId="0" applyNumberFormat="1" applyFont="1" applyFill="1" applyBorder="1" applyAlignment="1">
      <alignment horizontal="center" vertical="center"/>
    </xf>
    <xf numFmtId="0" fontId="17" fillId="0" borderId="0" xfId="0" applyFont="1"/>
    <xf numFmtId="0" fontId="18" fillId="0" borderId="0" xfId="0" applyFont="1"/>
    <xf numFmtId="164" fontId="18" fillId="0" borderId="0" xfId="0" applyNumberFormat="1" applyFont="1" applyAlignment="1">
      <alignment horizontal="right" vertical="center"/>
    </xf>
    <xf numFmtId="0" fontId="4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5" fillId="0" borderId="1" xfId="0" applyFont="1" applyBorder="1" applyAlignment="1">
      <alignment horizontal="left"/>
    </xf>
    <xf numFmtId="0" fontId="0" fillId="0" borderId="1" xfId="0" applyBorder="1"/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wrapText="1"/>
    </xf>
    <xf numFmtId="0" fontId="3" fillId="2" borderId="4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top"/>
    </xf>
    <xf numFmtId="0" fontId="4" fillId="3" borderId="2" xfId="0" applyFont="1" applyFill="1" applyBorder="1" applyAlignment="1">
      <alignment horizontal="center" vertical="top"/>
    </xf>
    <xf numFmtId="0" fontId="4" fillId="3" borderId="3" xfId="0" applyFont="1" applyFill="1" applyBorder="1" applyAlignment="1">
      <alignment horizontal="center" vertical="top"/>
    </xf>
    <xf numFmtId="14" fontId="8" fillId="0" borderId="4" xfId="0" applyNumberFormat="1" applyFont="1" applyBorder="1" applyAlignment="1">
      <alignment horizontal="left"/>
    </xf>
    <xf numFmtId="14" fontId="8" fillId="0" borderId="2" xfId="0" applyNumberFormat="1" applyFont="1" applyBorder="1" applyAlignment="1">
      <alignment horizontal="left"/>
    </xf>
    <xf numFmtId="14" fontId="8" fillId="0" borderId="3" xfId="0" applyNumberFormat="1" applyFont="1" applyBorder="1" applyAlignment="1">
      <alignment horizontal="left"/>
    </xf>
    <xf numFmtId="0" fontId="6" fillId="0" borderId="1" xfId="0" applyFont="1" applyBorder="1" applyAlignment="1">
      <alignment horizontal="left" wrapText="1"/>
    </xf>
    <xf numFmtId="0" fontId="0" fillId="0" borderId="1" xfId="0" applyBorder="1" applyAlignment="1">
      <alignment wrapText="1"/>
    </xf>
    <xf numFmtId="0" fontId="16" fillId="2" borderId="6" xfId="0" applyFont="1" applyFill="1" applyBorder="1" applyAlignment="1">
      <alignment horizontal="center" vertical="center"/>
    </xf>
    <xf numFmtId="0" fontId="16" fillId="2" borderId="7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4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numFmt numFmtId="164" formatCode="&quot;$&quot;#,##0.0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Futura Medium"/>
        <scheme val="none"/>
      </font>
      <numFmt numFmtId="164" formatCode="&quot;$&quot;#,##0.00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Futura Medium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Futura Medium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Futura Medium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</dxfs>
  <tableStyles count="1" defaultTableStyle="TableStyleMedium2" defaultPivotStyle="PivotStyleLight16">
    <tableStyle name="Table Style 1" pivot="0" count="0" xr9:uid="{B7CF053C-2C4C-3545-AE08-4A12DBDCC67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worksheet" Target="worksheets/sheet13.xml" /><Relationship Id="rId18" Type="http://schemas.openxmlformats.org/officeDocument/2006/relationships/customXml" Target="../customXml/item1.xml" /><Relationship Id="rId3" Type="http://schemas.openxmlformats.org/officeDocument/2006/relationships/worksheet" Target="worksheets/sheet3.xml" /><Relationship Id="rId7" Type="http://schemas.openxmlformats.org/officeDocument/2006/relationships/worksheet" Target="worksheets/sheet7.xml" /><Relationship Id="rId12" Type="http://schemas.openxmlformats.org/officeDocument/2006/relationships/worksheet" Target="worksheets/sheet12.xml" /><Relationship Id="rId17" Type="http://schemas.openxmlformats.org/officeDocument/2006/relationships/calcChain" Target="calcChain.xml" /><Relationship Id="rId2" Type="http://schemas.openxmlformats.org/officeDocument/2006/relationships/worksheet" Target="worksheets/sheet2.xml" /><Relationship Id="rId16" Type="http://schemas.openxmlformats.org/officeDocument/2006/relationships/sharedStrings" Target="sharedStrings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worksheet" Target="worksheets/sheet11.xml" /><Relationship Id="rId5" Type="http://schemas.openxmlformats.org/officeDocument/2006/relationships/worksheet" Target="worksheets/sheet5.xml" /><Relationship Id="rId15" Type="http://schemas.openxmlformats.org/officeDocument/2006/relationships/styles" Target="styles.xml" /><Relationship Id="rId10" Type="http://schemas.openxmlformats.org/officeDocument/2006/relationships/worksheet" Target="worksheets/sheet10.xml" /><Relationship Id="rId19" Type="http://schemas.microsoft.com/office/2006/relationships/vbaProject" Target="vbaProject.bin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theme" Target="theme/theme1.xml" 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1133363</xdr:colOff>
      <xdr:row>0</xdr:row>
      <xdr:rowOff>0</xdr:rowOff>
    </xdr:from>
    <xdr:ext cx="3224539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A11C09-CD27-3E4B-9919-8B23D338A855}"/>
            </a:ext>
          </a:extLst>
        </xdr:cNvPr>
        <xdr:cNvSpPr txBox="1"/>
      </xdr:nvSpPr>
      <xdr:spPr>
        <a:xfrm>
          <a:off x="4130563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32245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22321D3-929C-0241-8466-4D9E061BDADF}"/>
            </a:ext>
          </a:extLst>
        </xdr:cNvPr>
        <xdr:cNvSpPr txBox="1"/>
      </xdr:nvSpPr>
      <xdr:spPr>
        <a:xfrm>
          <a:off x="4368800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1133363</xdr:colOff>
      <xdr:row>0</xdr:row>
      <xdr:rowOff>0</xdr:rowOff>
    </xdr:from>
    <xdr:ext cx="3224539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B3B690-85D4-CB40-90FE-DCC6247EE75A}"/>
            </a:ext>
          </a:extLst>
        </xdr:cNvPr>
        <xdr:cNvSpPr txBox="1"/>
      </xdr:nvSpPr>
      <xdr:spPr>
        <a:xfrm>
          <a:off x="4130563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32245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B2D11F9-C10A-134A-9663-99326F0160FD}"/>
            </a:ext>
          </a:extLst>
        </xdr:cNvPr>
        <xdr:cNvSpPr txBox="1"/>
      </xdr:nvSpPr>
      <xdr:spPr>
        <a:xfrm>
          <a:off x="4368800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502271</xdr:colOff>
      <xdr:row>2</xdr:row>
      <xdr:rowOff>185615</xdr:rowOff>
    </xdr:from>
    <xdr:ext cx="3224539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64F9A3E-D00A-BF4E-A991-467232FC19BD}"/>
            </a:ext>
          </a:extLst>
        </xdr:cNvPr>
        <xdr:cNvSpPr txBox="1"/>
      </xdr:nvSpPr>
      <xdr:spPr>
        <a:xfrm>
          <a:off x="10007733" y="615461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7</xdr:col>
      <xdr:colOff>683847</xdr:colOff>
      <xdr:row>2</xdr:row>
      <xdr:rowOff>195385</xdr:rowOff>
    </xdr:from>
    <xdr:ext cx="32245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D24B9F2-4DFC-664E-8653-AF63EE337380}"/>
            </a:ext>
          </a:extLst>
        </xdr:cNvPr>
        <xdr:cNvSpPr txBox="1"/>
      </xdr:nvSpPr>
      <xdr:spPr>
        <a:xfrm>
          <a:off x="11000155" y="625231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1133363</xdr:colOff>
      <xdr:row>0</xdr:row>
      <xdr:rowOff>0</xdr:rowOff>
    </xdr:from>
    <xdr:ext cx="3224539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8EA5F7-3BDF-924C-85A6-A924261C773A}"/>
            </a:ext>
          </a:extLst>
        </xdr:cNvPr>
        <xdr:cNvSpPr txBox="1"/>
      </xdr:nvSpPr>
      <xdr:spPr>
        <a:xfrm>
          <a:off x="4130563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32245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D97F79-5C03-B24A-9BDC-1E9FAC9DB20D}"/>
            </a:ext>
          </a:extLst>
        </xdr:cNvPr>
        <xdr:cNvSpPr txBox="1"/>
      </xdr:nvSpPr>
      <xdr:spPr>
        <a:xfrm>
          <a:off x="4368800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1133363</xdr:colOff>
      <xdr:row>0</xdr:row>
      <xdr:rowOff>0</xdr:rowOff>
    </xdr:from>
    <xdr:ext cx="3224539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39F34BA-CB2B-7048-8464-C01F9647310B}"/>
            </a:ext>
          </a:extLst>
        </xdr:cNvPr>
        <xdr:cNvSpPr txBox="1"/>
      </xdr:nvSpPr>
      <xdr:spPr>
        <a:xfrm>
          <a:off x="4130563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32245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640D6A4-26D5-D444-B26D-1F90F3F82165}"/>
            </a:ext>
          </a:extLst>
        </xdr:cNvPr>
        <xdr:cNvSpPr txBox="1"/>
      </xdr:nvSpPr>
      <xdr:spPr>
        <a:xfrm>
          <a:off x="4368800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1133363</xdr:colOff>
      <xdr:row>0</xdr:row>
      <xdr:rowOff>0</xdr:rowOff>
    </xdr:from>
    <xdr:ext cx="3224539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482648-0D9D-9E43-9E4D-71247B378355}"/>
            </a:ext>
          </a:extLst>
        </xdr:cNvPr>
        <xdr:cNvSpPr txBox="1"/>
      </xdr:nvSpPr>
      <xdr:spPr>
        <a:xfrm>
          <a:off x="4130563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32245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E8ED062-36BF-1F48-9E33-50CF5B669804}"/>
            </a:ext>
          </a:extLst>
        </xdr:cNvPr>
        <xdr:cNvSpPr txBox="1"/>
      </xdr:nvSpPr>
      <xdr:spPr>
        <a:xfrm>
          <a:off x="4368800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1133363</xdr:colOff>
      <xdr:row>0</xdr:row>
      <xdr:rowOff>0</xdr:rowOff>
    </xdr:from>
    <xdr:ext cx="3224539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F4269E6-536E-1C44-A1C7-1FE25BA536CE}"/>
            </a:ext>
          </a:extLst>
        </xdr:cNvPr>
        <xdr:cNvSpPr txBox="1"/>
      </xdr:nvSpPr>
      <xdr:spPr>
        <a:xfrm>
          <a:off x="4130563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32245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37A5E8B-2311-9A46-8960-BEE57B831A93}"/>
            </a:ext>
          </a:extLst>
        </xdr:cNvPr>
        <xdr:cNvSpPr txBox="1"/>
      </xdr:nvSpPr>
      <xdr:spPr>
        <a:xfrm>
          <a:off x="4368800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1133363</xdr:colOff>
      <xdr:row>0</xdr:row>
      <xdr:rowOff>0</xdr:rowOff>
    </xdr:from>
    <xdr:ext cx="3224539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E8A869-DF8D-2D40-A306-66F1CD977F59}"/>
            </a:ext>
          </a:extLst>
        </xdr:cNvPr>
        <xdr:cNvSpPr txBox="1"/>
      </xdr:nvSpPr>
      <xdr:spPr>
        <a:xfrm>
          <a:off x="4130563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32245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76D7993-8404-F64A-A02D-627E130D4631}"/>
            </a:ext>
          </a:extLst>
        </xdr:cNvPr>
        <xdr:cNvSpPr txBox="1"/>
      </xdr:nvSpPr>
      <xdr:spPr>
        <a:xfrm>
          <a:off x="4368800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1133363</xdr:colOff>
      <xdr:row>0</xdr:row>
      <xdr:rowOff>0</xdr:rowOff>
    </xdr:from>
    <xdr:ext cx="3224539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493F724-4F37-8F43-8360-1D455E5A4000}"/>
            </a:ext>
          </a:extLst>
        </xdr:cNvPr>
        <xdr:cNvSpPr txBox="1"/>
      </xdr:nvSpPr>
      <xdr:spPr>
        <a:xfrm>
          <a:off x="4130563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32245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E82A40E-642A-9941-92A0-E14A8DB43E7C}"/>
            </a:ext>
          </a:extLst>
        </xdr:cNvPr>
        <xdr:cNvSpPr txBox="1"/>
      </xdr:nvSpPr>
      <xdr:spPr>
        <a:xfrm>
          <a:off x="4368800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1133363</xdr:colOff>
      <xdr:row>0</xdr:row>
      <xdr:rowOff>0</xdr:rowOff>
    </xdr:from>
    <xdr:ext cx="3224539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A67EBF-5295-9643-8C84-E31D790F2C88}"/>
            </a:ext>
          </a:extLst>
        </xdr:cNvPr>
        <xdr:cNvSpPr txBox="1"/>
      </xdr:nvSpPr>
      <xdr:spPr>
        <a:xfrm>
          <a:off x="4130563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0</xdr:colOff>
      <xdr:row>0</xdr:row>
      <xdr:rowOff>0</xdr:rowOff>
    </xdr:from>
    <xdr:ext cx="3224539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79CE4F4-8DA7-E24E-AF3E-52CD69A0BEBD}"/>
            </a:ext>
          </a:extLst>
        </xdr:cNvPr>
        <xdr:cNvSpPr txBox="1"/>
      </xdr:nvSpPr>
      <xdr:spPr>
        <a:xfrm>
          <a:off x="4368800" y="647700"/>
          <a:ext cx="32245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7500C5-C25A-D744-A5A0-0C78914A7A8E}" name="Table1" displayName="Table1" ref="A1:G417" totalsRowShown="0" headerRowBorderDxfId="9" tableBorderDxfId="8" totalsRowBorderDxfId="7">
  <autoFilter ref="A1:G417" xr:uid="{217500C5-C25A-D744-A5A0-0C78914A7A8E}">
    <filterColumn colId="1">
      <filters>
        <filter val="LIGHTS"/>
      </filters>
    </filterColumn>
  </autoFilter>
  <tableColumns count="7">
    <tableColumn id="1" xr3:uid="{3FCEFA79-FEC0-D445-842E-EB47417594C5}" name="SKU" dataDxfId="6"/>
    <tableColumn id="2" xr3:uid="{99315207-4F5B-C940-A599-38D2C2D48B00}" name="CATEGORY" dataDxfId="5"/>
    <tableColumn id="3" xr3:uid="{B60E7DA9-5A28-1E4C-950A-13A43EC96D90}" name="Mfg. Part #" dataDxfId="4"/>
    <tableColumn id="4" xr3:uid="{F6195574-B125-A04E-B791-7424A14DFA0B}" name="DESCRIPTION OF SALES TRANSACTIONS" dataDxfId="3"/>
    <tableColumn id="5" xr3:uid="{E2C4A389-4D05-F844-8C29-6227E9A5C8E7}" name="Column1" dataDxfId="2"/>
    <tableColumn id="6" xr3:uid="{D92F3D53-0F10-6B48-AFCA-8702F6E3B1B5}" name="Column2" dataDxfId="1"/>
    <tableColumn id="7" xr3:uid="{B827CEEB-68A8-8343-AE70-FD8C7E8F4CA4}" name="SALES_x000a_PRICE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 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 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 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 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 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 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 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 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pool360.com/Product/dark-gray-cover-and-frame-for-32-channel-main-drain-pool-ctm-251-3022" TargetMode="External" /><Relationship Id="rId18" Type="http://schemas.openxmlformats.org/officeDocument/2006/relationships/hyperlink" Target="https://www.pool360.com/Product/white-cover-and-frame-for-32-channel-main-drain-pool-ctm-251-3019?criteria=CTM-251-3019" TargetMode="External" /><Relationship Id="rId26" Type="http://schemas.openxmlformats.org/officeDocument/2006/relationships/hyperlink" Target="https://www.pool360.com/Product/2-s-dark-gry-adj-pebble-top-floor-inlet-pool-sph-25-369?criteria=SPH-25-369" TargetMode="External" /><Relationship Id="rId39" Type="http://schemas.openxmlformats.org/officeDocument/2006/relationships/hyperlink" Target="https://www.pool360.com/Product/admiral-s20-wedge-skimmers-molded-flap-weir-pool-amp-251-1260" TargetMode="External" /><Relationship Id="rId21" Type="http://schemas.openxmlformats.org/officeDocument/2006/relationships/hyperlink" Target="https://www.pool360.com/Product/20-white-round-unblockable-complete-drain-with-sump-pool-ctm-25-1112" TargetMode="External" /><Relationship Id="rId34" Type="http://schemas.openxmlformats.org/officeDocument/2006/relationships/hyperlink" Target="https://www.pool360.com/Product/square-adjusting-collar-pool-hay-251-1914?criteria=HAY-251-1914" TargetMode="External" /><Relationship Id="rId42" Type="http://schemas.openxmlformats.org/officeDocument/2006/relationships/hyperlink" Target="https://www.pool360.com/Product/white-bermuda-gunite-skimmers-weir-gate-assembly-pool-pac-251-1232?criteria=PAC-251-1232" TargetMode="External" /><Relationship Id="rId47" Type="http://schemas.openxmlformats.org/officeDocument/2006/relationships/hyperlink" Target="https://www.pool360.com/Product/white-poly-storm-thread-in-style-wall-fitting-pool-wwp-851-8615" TargetMode="External" /><Relationship Id="rId50" Type="http://schemas.openxmlformats.org/officeDocument/2006/relationships/hyperlink" Target="https://www.pool360.com/Product/gunite-retainer-ring-assembly-pool-wwp-85-8099" TargetMode="External" /><Relationship Id="rId55" Type="http://schemas.openxmlformats.org/officeDocument/2006/relationships/hyperlink" Target="https://www.pool360.com/Product/2-admiral-s20-skimmer-flap-weir-no-equalizer-threaded-port-white-pool-amp-25-1609" TargetMode="External" /><Relationship Id="rId63" Type="http://schemas.openxmlformats.org/officeDocument/2006/relationships/hyperlink" Target="https://www.pool360.com/Product/32-diamond-strip-drain-concrete-white-pool-wwp-25-1360" TargetMode="External" /><Relationship Id="rId68" Type="http://schemas.openxmlformats.org/officeDocument/2006/relationships/hyperlink" Target="https://www.pool360.com/Product/2-white-self-aligning-aussie-insider-with-1-1-4-eye-opening-pool-spg-25-8997" TargetMode="External" /><Relationship Id="rId76" Type="http://schemas.openxmlformats.org/officeDocument/2006/relationships/hyperlink" Target="https://www.pool360.com/Product/poly-storm-jet-internal-pool-wwp-85-1006" TargetMode="External" /><Relationship Id="rId7" Type="http://schemas.openxmlformats.org/officeDocument/2006/relationships/hyperlink" Target="https://www.pool360.com/Product/2-socket-black-adjustable-floor-inlet-fitting-with-1-1-2-reducer-pool-ctm-25-9221?criteria=CTM%2025%209221" TargetMode="External" /><Relationship Id="rId71" Type="http://schemas.openxmlformats.org/officeDocument/2006/relationships/hyperlink" Target="https://www.pool360.com/Product/return-fitting-with-water-stop-pool-api-25-1062" TargetMode="External" /><Relationship Id="rId2" Type="http://schemas.openxmlformats.org/officeDocument/2006/relationships/hyperlink" Target="https://www.pool360.com/Product/1-5-mpt-black-hydrostream-fitting-with-0-5-opening-pool-spg-25-0222" TargetMode="External" /><Relationship Id="rId16" Type="http://schemas.openxmlformats.org/officeDocument/2006/relationships/hyperlink" Target="https://www.pool360.com/Product/black-cover-only-with-screws-for-32-channel-main-drain-pool-ctm-251-3008" TargetMode="External" /><Relationship Id="rId29" Type="http://schemas.openxmlformats.org/officeDocument/2006/relationships/hyperlink" Target="https://www.pool360.com/Product/2-s-light-gry-adj-pebble-top-floor-inlet-pool-sph-25-368?criteria=SPH-25-368" TargetMode="External" /><Relationship Id="rId11" Type="http://schemas.openxmlformats.org/officeDocument/2006/relationships/hyperlink" Target="https://www.pool360.com/Product/32-black-vgb-unblockable-channel-main-drain-and-sump-pool-ctm-251-3002" TargetMode="External" /><Relationship Id="rId24" Type="http://schemas.openxmlformats.org/officeDocument/2006/relationships/hyperlink" Target="https://www.pool360.com/Product/2-s-white-adj-pebble-top-floor-inlet-pool-sph-25-366?criteria=SPH-25-366" TargetMode="External" /><Relationship Id="rId32" Type="http://schemas.openxmlformats.org/officeDocument/2006/relationships/hyperlink" Target="https://www.pool360.com/Product/8-white-round-anti-vortex-main-drain-flat-frame-and-grate-pool-spg-25-0108?criteria=SPG-25-0108" TargetMode="External" /><Relationship Id="rId37" Type="http://schemas.openxmlformats.org/officeDocument/2006/relationships/hyperlink" Target="https://www.pool360.com/Product/9-diameter-admiral-s20-wedge-skimmers-ring-seat-pool-amp-251-1256" TargetMode="External" /><Relationship Id="rId40" Type="http://schemas.openxmlformats.org/officeDocument/2006/relationships/hyperlink" Target="https://www.pool360.com/Product/white-square-skimmer-lid-pool-hay-251-1913?criteria=HAY-251-1913" TargetMode="External" /><Relationship Id="rId45" Type="http://schemas.openxmlformats.org/officeDocument/2006/relationships/hyperlink" Target="https://www.pool360.com/Search?query=WWP-85-8198" TargetMode="External" /><Relationship Id="rId53" Type="http://schemas.openxmlformats.org/officeDocument/2006/relationships/hyperlink" Target="https://www.pool360.com/Product/pinnacle-large-strainer-basket-pool-pac-101-7230" TargetMode="External" /><Relationship Id="rId58" Type="http://schemas.openxmlformats.org/officeDocument/2006/relationships/hyperlink" Target="https://www.pool360.com/Product/8-white-color-choice-suction-outlet-cover-with-screw-kit-pool-spg-25-5531" TargetMode="External" /><Relationship Id="rId66" Type="http://schemas.openxmlformats.org/officeDocument/2006/relationships/hyperlink" Target="https://www.pool360.com/Product/1-5-mpt-white-eyeball-fitting-pool-sph-25-001" TargetMode="External" /><Relationship Id="rId74" Type="http://schemas.openxmlformats.org/officeDocument/2006/relationships/hyperlink" Target="https://www.pool360.com/Product/2-5-power-storm-thread-in-gunite-body-assembly-straight-body-only-pool-wwp-85-8915" TargetMode="External" /><Relationship Id="rId5" Type="http://schemas.openxmlformats.org/officeDocument/2006/relationships/hyperlink" Target="https://www.pool360.com/Product/1-5-mpt-white-wall-fitting-with-2-socket-pool-spg-25-0010" TargetMode="External" /><Relationship Id="rId15" Type="http://schemas.openxmlformats.org/officeDocument/2006/relationships/hyperlink" Target="https://www.pool360.com/Product/gray-cover-and-frame-for-32-channel-main-drain-pool-ctm-251-3020" TargetMode="External" /><Relationship Id="rId23" Type="http://schemas.openxmlformats.org/officeDocument/2006/relationships/hyperlink" Target="https://www.pool360.com/Product/8-black-av-pebbletop-frame-grate-pool-spg-25-308" TargetMode="External" /><Relationship Id="rId28" Type="http://schemas.openxmlformats.org/officeDocument/2006/relationships/hyperlink" Target="https://www.pool360.com/Product/2-fpt-white-dual-suction-outlet-with-grate-2-per-pack-pool-hay-25-1038" TargetMode="External" /><Relationship Id="rId36" Type="http://schemas.openxmlformats.org/officeDocument/2006/relationships/hyperlink" Target="https://www.pool360.com/Product/white-bermuda-gunite-skimmers-deck-extension-collar-pool-pac-251-5754?criteria=PAC-251-5754" TargetMode="External" /><Relationship Id="rId49" Type="http://schemas.openxmlformats.org/officeDocument/2006/relationships/hyperlink" Target="https://www.pool360.com/Product/gunite-poly-jet-niche-adapter-white-pool-wwp-85-8089" TargetMode="External" /><Relationship Id="rId57" Type="http://schemas.openxmlformats.org/officeDocument/2006/relationships/hyperlink" Target="https://www.pool360.com/Product/white-skimmer-with-6-bucket-9-basket-pool-api-25-1005" TargetMode="External" /><Relationship Id="rId61" Type="http://schemas.openxmlformats.org/officeDocument/2006/relationships/hyperlink" Target="https://www.pool360.com/Product/2-skt-x-2-fip-8-round-dual-suction-outlet-with-adjustable-collar-2-per-pack-pool-hay-25-1024" TargetMode="External" /><Relationship Id="rId10" Type="http://schemas.openxmlformats.org/officeDocument/2006/relationships/hyperlink" Target="https://www.pool360.com/Product/1-5-slip-inlet-economy-insider-white-pool-pac-25-1560" TargetMode="External" /><Relationship Id="rId19" Type="http://schemas.openxmlformats.org/officeDocument/2006/relationships/hyperlink" Target="https://www.pool360.com/Product/gray-cover-only-with-screws-for-32-channel-main-drain-pool-ctm-251-3007" TargetMode="External" /><Relationship Id="rId31" Type="http://schemas.openxmlformats.org/officeDocument/2006/relationships/hyperlink" Target="https://www.pool360.com/Product/12-x-12-square-white-anti-vortex-main-drain-frame-grate-pool-spg-25-8008?criteria=SPG-25-8008" TargetMode="External" /><Relationship Id="rId44" Type="http://schemas.openxmlformats.org/officeDocument/2006/relationships/hyperlink" Target="https://www.pool360.com/Product/7-gunite-power-seat-kit-3-jet-manifold-for-poly-and-power-storm-pool-wwp-85-3420" TargetMode="External" /><Relationship Id="rId52" Type="http://schemas.openxmlformats.org/officeDocument/2006/relationships/hyperlink" Target="https://www.pool360.com/Product/admiral-s20-tapered-skimmer-basket-pool-spg-601-0200" TargetMode="External" /><Relationship Id="rId60" Type="http://schemas.openxmlformats.org/officeDocument/2006/relationships/hyperlink" Target="https://www.pool360.com/Product/1-1-2-x-2-white-dual-suction-outlet-with-av-grate-2-per-pack-pool-hay-25-1041" TargetMode="External" /><Relationship Id="rId65" Type="http://schemas.openxmlformats.org/officeDocument/2006/relationships/hyperlink" Target="https://www.pool360.com/Product/gray-self-aligning-aussie-insider-fittings-pool-spg-25-2055" TargetMode="External" /><Relationship Id="rId73" Type="http://schemas.openxmlformats.org/officeDocument/2006/relationships/hyperlink" Target="https://www.pool360.com/Product/square-clear-flush-mount-return-fitting-pool-sph-25-1017" TargetMode="External" /><Relationship Id="rId4" Type="http://schemas.openxmlformats.org/officeDocument/2006/relationships/hyperlink" Target="https://www.pool360.com/Product/1-5-mpt-gray-safety-grate-insert-fitting-pool-spg-25-0302" TargetMode="External" /><Relationship Id="rId9" Type="http://schemas.openxmlformats.org/officeDocument/2006/relationships/hyperlink" Target="https://www.pool360.com/Product/1-1-2in-slip-inlet-w-snap-in-3-4in-gy-pool-ctm-25-0120?criteria=CTM-25-0120" TargetMode="External" /><Relationship Id="rId14" Type="http://schemas.openxmlformats.org/officeDocument/2006/relationships/hyperlink" Target="https://www.pool360.com/Product/32in-channel-drain-cover-w-screws-dkgr-pool-ctm-251-3009?criteria=CTM-251-3009" TargetMode="External" /><Relationship Id="rId22" Type="http://schemas.openxmlformats.org/officeDocument/2006/relationships/hyperlink" Target="https://www.pool360.com/Product/20-gray-round-unblockable-drain-with-sump-pool-ctm-25-1115" TargetMode="External" /><Relationship Id="rId27" Type="http://schemas.openxmlformats.org/officeDocument/2006/relationships/hyperlink" Target="https://www.pool360.com/Product/1-5-mpt-black-safety-grate-insert-pool-spg-25-0303" TargetMode="External" /><Relationship Id="rId30" Type="http://schemas.openxmlformats.org/officeDocument/2006/relationships/hyperlink" Target="https://www.pool360.com/Product/super-pump-basket-pool-hay-101-2013?criteria=HAY-101-2013" TargetMode="External" /><Relationship Id="rId35" Type="http://schemas.openxmlformats.org/officeDocument/2006/relationships/hyperlink" Target="https://www.pool360.com/Product/white-round-skimmer-lid-pool-hay-251-1929?criteria=HAY-251-1929" TargetMode="External" /><Relationship Id="rId43" Type="http://schemas.openxmlformats.org/officeDocument/2006/relationships/hyperlink" Target="https://www.pool360.com/Product/2-bermuda-skimmer-slip-port-pvc-white-pool-pac-25-1629?criteria=PAC-25-1629" TargetMode="External" /><Relationship Id="rId48" Type="http://schemas.openxmlformats.org/officeDocument/2006/relationships/hyperlink" Target="https://www.pool360.com/Product/thread-in-5-scallop-directional-poly-storm-gunite-jet-internal-gray-pool-wwp-85-8631?criteria=WWP-85-8631" TargetMode="External" /><Relationship Id="rId56" Type="http://schemas.openxmlformats.org/officeDocument/2006/relationships/hyperlink" Target="https://www.pool360.com/Product/white-avsc-dual-suction-pebble-top-channel-drain-pool-ana-25-0228" TargetMode="External" /><Relationship Id="rId64" Type="http://schemas.openxmlformats.org/officeDocument/2006/relationships/hyperlink" Target="https://www.pool360.com/Product/2-white-swimquip-floor-inlet-fitting-slip-with-1-5-slip-bushing-pool-swq-251-2812" TargetMode="External" /><Relationship Id="rId69" Type="http://schemas.openxmlformats.org/officeDocument/2006/relationships/hyperlink" Target="https://www.pool360.com/Product/white-variflo-adjustable-nozzle-assembly-pool-hay-85-8137" TargetMode="External" /><Relationship Id="rId77" Type="http://schemas.openxmlformats.org/officeDocument/2006/relationships/table" Target="../tables/table1.xml" /><Relationship Id="rId8" Type="http://schemas.openxmlformats.org/officeDocument/2006/relationships/hyperlink" Target="https://www.pool360.com/Product/2-skt-white-floor-inlet-fitting-with-1-5-reducer-pool-spg-25-0116?criteria=SPG-25-0116" TargetMode="External" /><Relationship Id="rId51" Type="http://schemas.openxmlformats.org/officeDocument/2006/relationships/hyperlink" Target="https://www.pool360.com/Product/gray-gunite-jet-niche-pool-wwp-851-8061?criteria=WWP-851-8061" TargetMode="External" /><Relationship Id="rId72" Type="http://schemas.openxmlformats.org/officeDocument/2006/relationships/hyperlink" Target="https://www.pool360.com/Product/2-clear-threaded-wall-fitting-pool-sph-25-1016" TargetMode="External" /><Relationship Id="rId3" Type="http://schemas.openxmlformats.org/officeDocument/2006/relationships/hyperlink" Target="https://www.pool360.com/Product/1-5-mpt-black-wall-fitting-with-2-socket-pool-spg-25-0011" TargetMode="External" /><Relationship Id="rId12" Type="http://schemas.openxmlformats.org/officeDocument/2006/relationships/hyperlink" Target="https://www.pool360.com/Product/32-gray-vgb-unblockable-channel-main-drain-and-sump-pool-ctm-251-3001" TargetMode="External" /><Relationship Id="rId17" Type="http://schemas.openxmlformats.org/officeDocument/2006/relationships/hyperlink" Target="https://www.pool360.com/Product/black-cover-and-frame-for-32-channel-main-drain-pool-ctm-251-3021" TargetMode="External" /><Relationship Id="rId25" Type="http://schemas.openxmlformats.org/officeDocument/2006/relationships/hyperlink" Target="https://www.pool360.com/Product/2-s-black-adj-pebble-top-floor-inlet-pool-sph-25-367?criteria=SPH-25-367" TargetMode="External" /><Relationship Id="rId33" Type="http://schemas.openxmlformats.org/officeDocument/2006/relationships/hyperlink" Target="https://www.pool360.com/Product/32-white-vgb-unblockable-channel-main-drain-and-sump-pool-ctm-251-3000" TargetMode="External" /><Relationship Id="rId38" Type="http://schemas.openxmlformats.org/officeDocument/2006/relationships/hyperlink" Target="https://www.pool360.com/Product/white-bermuda-gunite-skimmers-deck-lid-pool-pac-251-6128?criteria=PAC-251-6128" TargetMode="External" /><Relationship Id="rId46" Type="http://schemas.openxmlformats.org/officeDocument/2006/relationships/hyperlink" Target="https://www.pool360.com/Product/poly-storm-thread-in-gunite-jet-tee-body-assembly-pool-wwp-851-8613?criteria=WWP-851-8613" TargetMode="External" /><Relationship Id="rId59" Type="http://schemas.openxmlformats.org/officeDocument/2006/relationships/hyperlink" Target="https://www.pool360.com/Product/10-white-color-choice-suction-outlet-cover-with-screw-kit-pool-spg-25-5538" TargetMode="External" /><Relationship Id="rId67" Type="http://schemas.openxmlformats.org/officeDocument/2006/relationships/hyperlink" Target="https://www.pool360.com/Product/white-three-piece-directional-eyeball-fitting-2-knock-in-pool-api-25-1880" TargetMode="External" /><Relationship Id="rId20" Type="http://schemas.openxmlformats.org/officeDocument/2006/relationships/hyperlink" Target="https://www.pool360.com/Product/20-round-unblockable-drain-w-sump-blac-pool-ctm-25-1113" TargetMode="External" /><Relationship Id="rId41" Type="http://schemas.openxmlformats.org/officeDocument/2006/relationships/hyperlink" Target="https://www.pool360.com/Product/white-skimmer-lid-pool-hay-251-1894?criteria=HAY-251-1894" TargetMode="External" /><Relationship Id="rId54" Type="http://schemas.openxmlformats.org/officeDocument/2006/relationships/hyperlink" Target="https://www.pool360.com/Product/whisperflo-strainer-basket-pool-spg-601-0199" TargetMode="External" /><Relationship Id="rId62" Type="http://schemas.openxmlformats.org/officeDocument/2006/relationships/hyperlink" Target="https://www.pool360.com/Product/pool-drain-assy-w-grated-a-v-cov-vgb2008-pool-wwp-25-8000" TargetMode="External" /><Relationship Id="rId70" Type="http://schemas.openxmlformats.org/officeDocument/2006/relationships/hyperlink" Target="https://www.pool360.com/Product/1-1-2-x-1-1-2-jetair-iii-jet-body-with-bulkhead-pool-hay-85-8136" TargetMode="External" /><Relationship Id="rId75" Type="http://schemas.openxmlformats.org/officeDocument/2006/relationships/hyperlink" Target="https://www.pool360.com/Product/gray-stainless-steel-roto-power-storm-jet-internal-pool-wwp-851-9724" TargetMode="External" /><Relationship Id="rId1" Type="http://schemas.openxmlformats.org/officeDocument/2006/relationships/hyperlink" Target="https://www.pool360.com/Product/1-5-slip-inlet-economy-insider-black-pool-pac-25-1603" TargetMode="External" /><Relationship Id="rId6" Type="http://schemas.openxmlformats.org/officeDocument/2006/relationships/hyperlink" Target="https://www.pool360.com/Product/1-1-2-mip-3-4-opening-white-hydrostream-fitting-pool-hay-25-1546?criteria=HAY-25-1546" TargetMode="Externa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A24D4-3D83-9946-B829-18829B6380DD}">
  <sheetPr codeName="Sheet1">
    <pageSetUpPr fitToPage="1"/>
  </sheetPr>
  <dimension ref="B2:G47"/>
  <sheetViews>
    <sheetView tabSelected="1" topLeftCell="A24" zoomScaleNormal="100" workbookViewId="0">
      <selection activeCell="H51" sqref="H51"/>
    </sheetView>
  </sheetViews>
  <sheetFormatPr defaultColWidth="10.8515625" defaultRowHeight="16.5" x14ac:dyDescent="0.25"/>
  <cols>
    <col min="1" max="1" width="4.3125" customWidth="1"/>
    <col min="2" max="2" width="9.98828125" customWidth="1"/>
    <col min="3" max="3" width="11.9609375" customWidth="1"/>
    <col min="4" max="4" width="23.796875" customWidth="1"/>
    <col min="5" max="5" width="12.453125" customWidth="1"/>
    <col min="6" max="6" width="12.20703125" customWidth="1"/>
    <col min="7" max="7" width="11.34375" style="1" customWidth="1"/>
  </cols>
  <sheetData>
    <row r="2" spans="2:7" ht="18" customHeight="1" x14ac:dyDescent="0.25">
      <c r="B2" s="80"/>
      <c r="C2" s="81"/>
      <c r="D2" s="81"/>
      <c r="E2" s="82"/>
      <c r="F2" s="5" t="s">
        <v>0</v>
      </c>
      <c r="G2" s="66"/>
    </row>
    <row r="3" spans="2:7" ht="30" customHeight="1" x14ac:dyDescent="0.25">
      <c r="B3" s="6" t="s">
        <v>1</v>
      </c>
      <c r="C3" s="83"/>
      <c r="D3" s="83"/>
      <c r="E3" s="83"/>
      <c r="F3" s="7" t="s">
        <v>2</v>
      </c>
      <c r="G3" s="8"/>
    </row>
    <row r="4" spans="2:7" ht="15" customHeight="1" x14ac:dyDescent="0.25">
      <c r="B4" s="84" t="s">
        <v>3</v>
      </c>
      <c r="C4" s="84"/>
      <c r="D4" s="84"/>
      <c r="E4" s="84"/>
      <c r="F4" s="84"/>
      <c r="G4" s="84"/>
    </row>
    <row r="5" spans="2:7" ht="15" customHeight="1" x14ac:dyDescent="0.25">
      <c r="B5" s="85"/>
      <c r="C5" s="85"/>
      <c r="D5" s="85"/>
      <c r="E5" s="85"/>
      <c r="F5" s="85"/>
      <c r="G5" s="85"/>
    </row>
    <row r="6" spans="2:7" ht="15" customHeight="1" x14ac:dyDescent="0.25">
      <c r="B6" s="85"/>
      <c r="C6" s="85"/>
      <c r="D6" s="85"/>
      <c r="E6" s="85"/>
      <c r="F6" s="85"/>
      <c r="G6" s="85"/>
    </row>
    <row r="7" spans="2:7" ht="15" customHeight="1" x14ac:dyDescent="0.25">
      <c r="B7" s="113"/>
      <c r="C7" s="113"/>
      <c r="D7" s="113"/>
      <c r="E7" s="113"/>
      <c r="F7" s="113"/>
      <c r="G7" s="113"/>
    </row>
    <row r="8" spans="2:7" ht="15" customHeight="1" x14ac:dyDescent="0.25">
      <c r="B8" s="113"/>
      <c r="C8" s="113"/>
      <c r="D8" s="113"/>
      <c r="E8" s="113"/>
      <c r="F8" s="113"/>
      <c r="G8" s="113"/>
    </row>
    <row r="9" spans="2:7" ht="15" customHeight="1" x14ac:dyDescent="0.25">
      <c r="B9" s="115" t="s">
        <v>1131</v>
      </c>
      <c r="C9" s="115"/>
      <c r="D9" s="115"/>
      <c r="E9" s="115"/>
      <c r="F9" s="115"/>
      <c r="G9" s="115"/>
    </row>
    <row r="10" spans="2:7" ht="15" customHeight="1" x14ac:dyDescent="0.25">
      <c r="B10" s="113"/>
      <c r="C10" s="113"/>
      <c r="D10" s="113"/>
      <c r="E10" s="113"/>
      <c r="F10" s="113"/>
      <c r="G10" s="113"/>
    </row>
    <row r="11" spans="2:7" ht="15" customHeight="1" x14ac:dyDescent="0.25">
      <c r="B11" s="116" t="s">
        <v>517</v>
      </c>
      <c r="C11" s="116"/>
      <c r="D11" s="116"/>
      <c r="E11" s="116"/>
      <c r="F11" s="116"/>
      <c r="G11" s="116"/>
    </row>
    <row r="12" spans="2:7" ht="15" customHeight="1" x14ac:dyDescent="0.25">
      <c r="B12" s="113"/>
      <c r="C12" s="113"/>
      <c r="D12" s="113"/>
      <c r="E12" s="113"/>
      <c r="F12" s="113"/>
      <c r="G12" s="113"/>
    </row>
    <row r="13" spans="2:7" ht="15" customHeight="1" x14ac:dyDescent="0.25">
      <c r="B13" s="113"/>
      <c r="C13" s="113"/>
      <c r="D13" s="113"/>
      <c r="E13" s="113"/>
      <c r="F13" s="113"/>
      <c r="G13" s="113"/>
    </row>
    <row r="14" spans="2:7" ht="15" customHeight="1" x14ac:dyDescent="0.25">
      <c r="B14" s="113"/>
      <c r="C14" s="113"/>
      <c r="D14" s="113"/>
      <c r="E14" s="113"/>
      <c r="F14" s="113"/>
      <c r="G14" s="113"/>
    </row>
    <row r="15" spans="2:7" ht="15" customHeight="1" x14ac:dyDescent="0.25">
      <c r="B15" s="9"/>
      <c r="C15" s="10" t="s">
        <v>15</v>
      </c>
      <c r="D15" s="86" t="s">
        <v>1130</v>
      </c>
      <c r="E15" s="87"/>
      <c r="F15" s="88"/>
      <c r="G15" s="11" t="s">
        <v>4</v>
      </c>
    </row>
    <row r="16" spans="2:7" ht="15" customHeight="1" x14ac:dyDescent="0.25">
      <c r="B16" s="6" t="s">
        <v>5</v>
      </c>
      <c r="C16" s="12"/>
      <c r="D16" s="92"/>
      <c r="E16" s="93"/>
      <c r="F16" s="94"/>
      <c r="G16" s="114"/>
    </row>
    <row r="17" spans="2:7" ht="15" customHeight="1" x14ac:dyDescent="0.25">
      <c r="B17" s="6" t="s">
        <v>6</v>
      </c>
      <c r="C17" s="14"/>
      <c r="D17" s="92"/>
      <c r="E17" s="93"/>
      <c r="F17" s="94"/>
      <c r="G17" s="114"/>
    </row>
    <row r="18" spans="2:7" ht="15" customHeight="1" x14ac:dyDescent="0.25">
      <c r="B18" s="6" t="s">
        <v>7</v>
      </c>
      <c r="C18" s="14"/>
      <c r="D18" s="92"/>
      <c r="E18" s="93"/>
      <c r="F18" s="94"/>
      <c r="G18" s="114"/>
    </row>
    <row r="19" spans="2:7" ht="15" customHeight="1" x14ac:dyDescent="0.25">
      <c r="B19" s="9"/>
      <c r="C19" s="10" t="s">
        <v>15</v>
      </c>
      <c r="D19" s="86" t="s">
        <v>1130</v>
      </c>
      <c r="E19" s="87"/>
      <c r="F19" s="88"/>
      <c r="G19" s="11" t="s">
        <v>4</v>
      </c>
    </row>
    <row r="20" spans="2:7" ht="15" customHeight="1" x14ac:dyDescent="0.25">
      <c r="B20" s="6" t="s">
        <v>5</v>
      </c>
      <c r="C20" s="12"/>
      <c r="D20" s="92"/>
      <c r="E20" s="93"/>
      <c r="F20" s="94"/>
      <c r="G20" s="114"/>
    </row>
    <row r="21" spans="2:7" ht="15" customHeight="1" x14ac:dyDescent="0.25">
      <c r="B21" s="6" t="s">
        <v>6</v>
      </c>
      <c r="C21" s="15"/>
      <c r="D21" s="92"/>
      <c r="E21" s="93"/>
      <c r="F21" s="94"/>
      <c r="G21" s="114"/>
    </row>
    <row r="22" spans="2:7" ht="15" customHeight="1" x14ac:dyDescent="0.25">
      <c r="B22" s="6" t="s">
        <v>7</v>
      </c>
      <c r="C22" s="15"/>
      <c r="D22" s="92"/>
      <c r="E22" s="93"/>
      <c r="F22" s="94"/>
      <c r="G22" s="114"/>
    </row>
    <row r="23" spans="2:7" ht="15" customHeight="1" x14ac:dyDescent="0.25">
      <c r="B23" s="9"/>
      <c r="C23" s="10" t="s">
        <v>15</v>
      </c>
      <c r="D23" s="86" t="s">
        <v>1130</v>
      </c>
      <c r="E23" s="87"/>
      <c r="F23" s="88"/>
      <c r="G23" s="11" t="s">
        <v>4</v>
      </c>
    </row>
    <row r="24" spans="2:7" ht="15" customHeight="1" x14ac:dyDescent="0.25">
      <c r="B24" s="6" t="s">
        <v>5</v>
      </c>
      <c r="C24" s="12"/>
      <c r="D24" s="92"/>
      <c r="E24" s="93"/>
      <c r="F24" s="94"/>
      <c r="G24" s="83"/>
    </row>
    <row r="25" spans="2:7" ht="15" customHeight="1" x14ac:dyDescent="0.25">
      <c r="B25" s="6" t="s">
        <v>6</v>
      </c>
      <c r="C25" s="14"/>
      <c r="D25" s="92"/>
      <c r="E25" s="93"/>
      <c r="F25" s="94"/>
      <c r="G25" s="83"/>
    </row>
    <row r="26" spans="2:7" ht="15" customHeight="1" x14ac:dyDescent="0.25">
      <c r="B26" s="6" t="s">
        <v>7</v>
      </c>
      <c r="C26" s="14"/>
      <c r="D26" s="92"/>
      <c r="E26" s="93"/>
      <c r="F26" s="94"/>
      <c r="G26" s="83"/>
    </row>
    <row r="27" spans="2:7" ht="15" customHeight="1" x14ac:dyDescent="0.25">
      <c r="B27" s="9"/>
      <c r="C27" s="10" t="s">
        <v>15</v>
      </c>
      <c r="D27" s="86" t="s">
        <v>1130</v>
      </c>
      <c r="E27" s="87"/>
      <c r="F27" s="88"/>
      <c r="G27" s="11" t="s">
        <v>4</v>
      </c>
    </row>
    <row r="28" spans="2:7" ht="15" customHeight="1" x14ac:dyDescent="0.25">
      <c r="B28" s="6" t="s">
        <v>5</v>
      </c>
      <c r="C28" s="8"/>
      <c r="D28" s="92"/>
      <c r="E28" s="93"/>
      <c r="F28" s="94"/>
      <c r="G28" s="83"/>
    </row>
    <row r="29" spans="2:7" ht="15" customHeight="1" x14ac:dyDescent="0.25">
      <c r="B29" s="6" t="s">
        <v>6</v>
      </c>
      <c r="C29" s="14"/>
      <c r="D29" s="92"/>
      <c r="E29" s="93"/>
      <c r="F29" s="94"/>
      <c r="G29" s="83"/>
    </row>
    <row r="30" spans="2:7" ht="15" customHeight="1" x14ac:dyDescent="0.25">
      <c r="B30" s="6" t="s">
        <v>7</v>
      </c>
      <c r="C30" s="14"/>
      <c r="D30" s="92"/>
      <c r="E30" s="93"/>
      <c r="F30" s="94"/>
      <c r="G30" s="83"/>
    </row>
    <row r="31" spans="2:7" ht="15" customHeight="1" x14ac:dyDescent="0.25">
      <c r="B31" s="9" t="s">
        <v>8</v>
      </c>
      <c r="C31" s="86" t="s">
        <v>16</v>
      </c>
      <c r="D31" s="88"/>
      <c r="E31" s="5" t="s">
        <v>9</v>
      </c>
      <c r="F31" s="5" t="s">
        <v>10</v>
      </c>
      <c r="G31" s="11" t="s">
        <v>11</v>
      </c>
    </row>
    <row r="32" spans="2:7" ht="15" customHeight="1" x14ac:dyDescent="0.25">
      <c r="B32" s="3"/>
      <c r="C32" s="104" t="s">
        <v>371</v>
      </c>
      <c r="D32" s="105"/>
      <c r="E32" s="23">
        <f>SUM(G16:G30)</f>
        <v>0</v>
      </c>
      <c r="F32" s="2">
        <v>95</v>
      </c>
      <c r="G32" s="22">
        <f>SUM(E32*F32)</f>
        <v>0</v>
      </c>
    </row>
    <row r="33" spans="2:7" ht="15" customHeight="1" x14ac:dyDescent="0.25">
      <c r="B33" s="4"/>
      <c r="C33" s="95"/>
      <c r="D33" s="96"/>
      <c r="E33" s="17"/>
      <c r="F33" s="29"/>
      <c r="G33" s="22">
        <f>SUM(E33*F33)</f>
        <v>0</v>
      </c>
    </row>
    <row r="34" spans="2:7" ht="15" customHeight="1" x14ac:dyDescent="0.25">
      <c r="B34" s="13"/>
      <c r="C34" s="95"/>
      <c r="D34" s="96"/>
      <c r="E34" s="17"/>
      <c r="F34" s="29"/>
      <c r="G34" s="22">
        <f>SUM(E34*F34)</f>
        <v>0</v>
      </c>
    </row>
    <row r="35" spans="2:7" ht="15" customHeight="1" x14ac:dyDescent="0.25">
      <c r="B35" s="13"/>
      <c r="C35" s="95"/>
      <c r="D35" s="96"/>
      <c r="E35" s="17"/>
      <c r="F35" s="18"/>
      <c r="G35" s="22">
        <f>SUM(E35*F35)</f>
        <v>0</v>
      </c>
    </row>
    <row r="36" spans="2:7" ht="15" customHeight="1" x14ac:dyDescent="0.25">
      <c r="B36" s="13"/>
      <c r="C36" s="95"/>
      <c r="D36" s="96"/>
      <c r="E36" s="17"/>
      <c r="F36" s="18"/>
      <c r="G36" s="22">
        <f t="shared" ref="G36:G40" si="0">SUM(E36*F36)</f>
        <v>0</v>
      </c>
    </row>
    <row r="37" spans="2:7" ht="15" customHeight="1" x14ac:dyDescent="0.25">
      <c r="B37" s="13"/>
      <c r="C37" s="95"/>
      <c r="D37" s="96"/>
      <c r="E37" s="17"/>
      <c r="F37" s="18"/>
      <c r="G37" s="22">
        <f t="shared" si="0"/>
        <v>0</v>
      </c>
    </row>
    <row r="38" spans="2:7" ht="15" customHeight="1" x14ac:dyDescent="0.25">
      <c r="B38" s="13"/>
      <c r="C38" s="95"/>
      <c r="D38" s="96"/>
      <c r="E38" s="17"/>
      <c r="F38" s="18"/>
      <c r="G38" s="22">
        <f t="shared" si="0"/>
        <v>0</v>
      </c>
    </row>
    <row r="39" spans="2:7" ht="15" customHeight="1" x14ac:dyDescent="0.25">
      <c r="B39" s="13"/>
      <c r="C39" s="95"/>
      <c r="D39" s="96"/>
      <c r="E39" s="17"/>
      <c r="F39" s="18"/>
      <c r="G39" s="22">
        <f t="shared" si="0"/>
        <v>0</v>
      </c>
    </row>
    <row r="40" spans="2:7" ht="15" customHeight="1" x14ac:dyDescent="0.25">
      <c r="B40" s="13"/>
      <c r="C40" s="95"/>
      <c r="D40" s="96"/>
      <c r="E40" s="17"/>
      <c r="F40" s="18"/>
      <c r="G40" s="22">
        <f t="shared" si="0"/>
        <v>0</v>
      </c>
    </row>
    <row r="41" spans="2:7" ht="15" customHeight="1" x14ac:dyDescent="0.25">
      <c r="B41" s="89"/>
      <c r="C41" s="90"/>
      <c r="D41" s="90"/>
      <c r="E41" s="90"/>
      <c r="F41" s="90"/>
      <c r="G41" s="91"/>
    </row>
    <row r="42" spans="2:7" ht="15" customHeight="1" x14ac:dyDescent="0.25">
      <c r="B42" s="103" t="s">
        <v>12</v>
      </c>
      <c r="C42" s="103"/>
      <c r="D42" s="103"/>
      <c r="E42" s="103"/>
      <c r="F42" s="103"/>
      <c r="G42" s="22">
        <f>SUM(G32:G41)</f>
        <v>0</v>
      </c>
    </row>
    <row r="43" spans="2:7" ht="15" customHeight="1" thickBot="1" x14ac:dyDescent="0.3">
      <c r="B43" s="110" t="s">
        <v>13</v>
      </c>
      <c r="C43" s="111"/>
      <c r="D43" s="111"/>
      <c r="E43" s="112"/>
      <c r="F43" s="54" t="s">
        <v>1129</v>
      </c>
      <c r="G43" s="54" t="s">
        <v>14</v>
      </c>
    </row>
    <row r="44" spans="2:7" ht="15" customHeight="1" x14ac:dyDescent="0.25">
      <c r="B44" s="106"/>
      <c r="C44" s="106"/>
      <c r="D44" s="106"/>
      <c r="E44" s="107"/>
      <c r="F44" s="97"/>
      <c r="G44" s="100"/>
    </row>
    <row r="45" spans="2:7" ht="15" customHeight="1" x14ac:dyDescent="0.25">
      <c r="B45" s="106"/>
      <c r="C45" s="106"/>
      <c r="D45" s="106"/>
      <c r="E45" s="107"/>
      <c r="F45" s="98"/>
      <c r="G45" s="101"/>
    </row>
    <row r="46" spans="2:7" x14ac:dyDescent="0.25">
      <c r="B46" s="106"/>
      <c r="C46" s="106"/>
      <c r="D46" s="106"/>
      <c r="E46" s="107"/>
      <c r="F46" s="98"/>
      <c r="G46" s="101"/>
    </row>
    <row r="47" spans="2:7" ht="17.25" thickBot="1" x14ac:dyDescent="0.3">
      <c r="B47" s="108"/>
      <c r="C47" s="109"/>
      <c r="D47" s="109"/>
      <c r="E47" s="109"/>
      <c r="F47" s="99"/>
      <c r="G47" s="102"/>
    </row>
  </sheetData>
  <mergeCells count="52">
    <mergeCell ref="D19:F19"/>
    <mergeCell ref="G20:G22"/>
    <mergeCell ref="D16:F16"/>
    <mergeCell ref="D17:F17"/>
    <mergeCell ref="B7:G7"/>
    <mergeCell ref="B8:G8"/>
    <mergeCell ref="B12:G12"/>
    <mergeCell ref="G16:G18"/>
    <mergeCell ref="D15:F15"/>
    <mergeCell ref="D18:F18"/>
    <mergeCell ref="B9:G9"/>
    <mergeCell ref="B10:G10"/>
    <mergeCell ref="B11:G11"/>
    <mergeCell ref="B13:G13"/>
    <mergeCell ref="B14:G14"/>
    <mergeCell ref="F44:F47"/>
    <mergeCell ref="G44:G47"/>
    <mergeCell ref="B42:F42"/>
    <mergeCell ref="G28:G30"/>
    <mergeCell ref="C31:D31"/>
    <mergeCell ref="C32:D32"/>
    <mergeCell ref="B44:E44"/>
    <mergeCell ref="B45:E45"/>
    <mergeCell ref="B46:E46"/>
    <mergeCell ref="B47:E47"/>
    <mergeCell ref="C33:D33"/>
    <mergeCell ref="C34:D34"/>
    <mergeCell ref="C35:D35"/>
    <mergeCell ref="C36:D36"/>
    <mergeCell ref="C37:D37"/>
    <mergeCell ref="B43:E43"/>
    <mergeCell ref="G24:G26"/>
    <mergeCell ref="D27:F27"/>
    <mergeCell ref="B41:G41"/>
    <mergeCell ref="D20:F20"/>
    <mergeCell ref="D21:F21"/>
    <mergeCell ref="D22:F22"/>
    <mergeCell ref="D24:F24"/>
    <mergeCell ref="D23:F23"/>
    <mergeCell ref="D25:F25"/>
    <mergeCell ref="D26:F26"/>
    <mergeCell ref="D28:F28"/>
    <mergeCell ref="D29:F29"/>
    <mergeCell ref="D30:F30"/>
    <mergeCell ref="C38:D38"/>
    <mergeCell ref="C39:D39"/>
    <mergeCell ref="C40:D40"/>
    <mergeCell ref="B2:E2"/>
    <mergeCell ref="C3:E3"/>
    <mergeCell ref="B4:G4"/>
    <mergeCell ref="B5:G5"/>
    <mergeCell ref="B6:G6"/>
  </mergeCell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C5BB0-C050-0145-B119-6C573DE2B60F}">
  <sheetPr codeName="Sheet2"/>
  <dimension ref="A1:F37"/>
  <sheetViews>
    <sheetView topLeftCell="A6" zoomScale="110" zoomScaleNormal="110" workbookViewId="0">
      <selection activeCell="C6" sqref="C6"/>
    </sheetView>
  </sheetViews>
  <sheetFormatPr defaultColWidth="10.6015625" defaultRowHeight="16.5" x14ac:dyDescent="0.25"/>
  <cols>
    <col min="1" max="1" width="24.2890625" bestFit="1" customWidth="1"/>
    <col min="2" max="2" width="13.19140625" bestFit="1" customWidth="1"/>
    <col min="3" max="3" width="62.640625" bestFit="1" customWidth="1"/>
    <col min="4" max="4" width="14.0546875" customWidth="1"/>
    <col min="5" max="5" width="14.0546875" style="61" customWidth="1"/>
    <col min="6" max="6" width="14.30078125" style="1" customWidth="1"/>
  </cols>
  <sheetData>
    <row r="1" spans="1:6" x14ac:dyDescent="0.25">
      <c r="A1" s="19" t="s">
        <v>30</v>
      </c>
      <c r="B1" s="16" t="s">
        <v>701</v>
      </c>
      <c r="C1" s="16" t="s">
        <v>702</v>
      </c>
      <c r="D1" s="30"/>
      <c r="E1" s="59"/>
      <c r="F1" s="29">
        <v>2693.5523999999996</v>
      </c>
    </row>
    <row r="2" spans="1:6" x14ac:dyDescent="0.25">
      <c r="A2" s="19" t="s">
        <v>30</v>
      </c>
      <c r="B2" s="16" t="s">
        <v>704</v>
      </c>
      <c r="C2" s="16" t="s">
        <v>705</v>
      </c>
      <c r="D2" s="30"/>
      <c r="E2" s="59"/>
      <c r="F2" s="29">
        <v>1932.9769799999999</v>
      </c>
    </row>
    <row r="3" spans="1:6" x14ac:dyDescent="0.25">
      <c r="A3" s="19" t="s">
        <v>30</v>
      </c>
      <c r="B3" s="20">
        <v>520736</v>
      </c>
      <c r="C3" s="16" t="s">
        <v>31</v>
      </c>
      <c r="D3" s="30"/>
      <c r="E3" s="59"/>
      <c r="F3" s="29">
        <v>357.11081999999999</v>
      </c>
    </row>
    <row r="4" spans="1:6" x14ac:dyDescent="0.25">
      <c r="A4" s="19" t="s">
        <v>30</v>
      </c>
      <c r="B4" s="20">
        <v>520554</v>
      </c>
      <c r="C4" s="16" t="s">
        <v>1134</v>
      </c>
      <c r="D4" s="30"/>
      <c r="E4" s="59"/>
      <c r="F4" s="29">
        <v>1158.308712</v>
      </c>
    </row>
    <row r="5" spans="1:6" x14ac:dyDescent="0.25">
      <c r="A5" s="19" t="s">
        <v>30</v>
      </c>
      <c r="B5" s="20">
        <v>520555</v>
      </c>
      <c r="C5" s="16" t="s">
        <v>1135</v>
      </c>
      <c r="D5" s="30"/>
      <c r="E5" s="59"/>
      <c r="F5" s="29">
        <v>1413.6847560000001</v>
      </c>
    </row>
    <row r="6" spans="1:6" x14ac:dyDescent="0.25">
      <c r="A6" s="19" t="s">
        <v>30</v>
      </c>
      <c r="B6" s="20">
        <v>520556</v>
      </c>
      <c r="C6" s="16" t="s">
        <v>34</v>
      </c>
      <c r="D6" s="30"/>
      <c r="E6" s="59"/>
      <c r="F6" s="29">
        <v>664.0361640000001</v>
      </c>
    </row>
    <row r="7" spans="1:6" x14ac:dyDescent="0.25">
      <c r="A7" s="19" t="s">
        <v>30</v>
      </c>
      <c r="B7" s="20">
        <v>520595</v>
      </c>
      <c r="C7" s="16" t="s">
        <v>35</v>
      </c>
      <c r="D7" s="30"/>
      <c r="E7" s="59"/>
      <c r="F7" s="29">
        <v>68.142492000000004</v>
      </c>
    </row>
    <row r="8" spans="1:6" x14ac:dyDescent="0.25">
      <c r="A8" s="19" t="s">
        <v>30</v>
      </c>
      <c r="B8" s="20">
        <v>521105</v>
      </c>
      <c r="C8" s="16" t="s">
        <v>36</v>
      </c>
      <c r="D8" s="30"/>
      <c r="E8" s="59"/>
      <c r="F8" s="29">
        <v>1507.171644</v>
      </c>
    </row>
    <row r="9" spans="1:6" x14ac:dyDescent="0.25">
      <c r="A9" s="19" t="s">
        <v>30</v>
      </c>
      <c r="B9" s="20">
        <v>521377</v>
      </c>
      <c r="C9" s="16" t="s">
        <v>306</v>
      </c>
      <c r="D9" s="30"/>
      <c r="E9" s="59"/>
      <c r="F9" s="29">
        <v>1156.376628</v>
      </c>
    </row>
    <row r="10" spans="1:6" x14ac:dyDescent="0.25">
      <c r="A10" s="19" t="s">
        <v>30</v>
      </c>
      <c r="B10" s="20">
        <v>523081</v>
      </c>
      <c r="C10" s="16" t="s">
        <v>307</v>
      </c>
      <c r="D10" s="30"/>
      <c r="E10" s="59"/>
      <c r="F10" s="29">
        <v>1147.9826159999998</v>
      </c>
    </row>
    <row r="11" spans="1:6" x14ac:dyDescent="0.25">
      <c r="A11" s="19" t="s">
        <v>30</v>
      </c>
      <c r="B11" s="16" t="s">
        <v>715</v>
      </c>
      <c r="C11" s="16" t="s">
        <v>308</v>
      </c>
      <c r="D11" s="30"/>
      <c r="E11" s="59"/>
      <c r="F11" s="29">
        <v>169.60125599999998</v>
      </c>
    </row>
    <row r="12" spans="1:6" x14ac:dyDescent="0.25">
      <c r="A12" s="19" t="s">
        <v>30</v>
      </c>
      <c r="B12" s="16" t="s">
        <v>717</v>
      </c>
      <c r="C12" s="16" t="s">
        <v>309</v>
      </c>
      <c r="D12" s="30"/>
      <c r="E12" s="59"/>
      <c r="F12" s="29">
        <v>351.11973599999999</v>
      </c>
    </row>
    <row r="13" spans="1:6" x14ac:dyDescent="0.25">
      <c r="A13" s="19"/>
      <c r="B13" s="16"/>
      <c r="C13" s="16"/>
      <c r="D13" s="30"/>
      <c r="E13" s="59"/>
      <c r="F13" s="29"/>
    </row>
    <row r="14" spans="1:6" x14ac:dyDescent="0.25">
      <c r="A14" s="19" t="s">
        <v>17</v>
      </c>
      <c r="B14" s="20">
        <v>11533</v>
      </c>
      <c r="C14" s="16" t="s">
        <v>297</v>
      </c>
      <c r="D14" s="30"/>
      <c r="E14" s="59"/>
      <c r="F14" s="29">
        <v>2490.5212199999996</v>
      </c>
    </row>
    <row r="15" spans="1:6" x14ac:dyDescent="0.25">
      <c r="A15" s="19" t="s">
        <v>17</v>
      </c>
      <c r="B15" s="20">
        <v>342002</v>
      </c>
      <c r="C15" s="16" t="s">
        <v>18</v>
      </c>
      <c r="D15" s="30"/>
      <c r="E15" s="59"/>
      <c r="F15" s="29">
        <v>1608.4355759999999</v>
      </c>
    </row>
    <row r="16" spans="1:6" x14ac:dyDescent="0.25">
      <c r="A16" s="19" t="s">
        <v>17</v>
      </c>
      <c r="B16" s="20">
        <v>11075</v>
      </c>
      <c r="C16" s="16" t="s">
        <v>19</v>
      </c>
      <c r="D16" s="30"/>
      <c r="E16" s="59"/>
      <c r="F16" s="29">
        <v>2422.865808</v>
      </c>
    </row>
    <row r="17" spans="1:6" x14ac:dyDescent="0.25">
      <c r="A17" s="19" t="s">
        <v>17</v>
      </c>
      <c r="B17" s="20">
        <v>11076</v>
      </c>
      <c r="C17" s="16" t="s">
        <v>20</v>
      </c>
      <c r="D17" s="30"/>
      <c r="E17" s="59"/>
      <c r="F17" s="29">
        <v>2421.2584440000001</v>
      </c>
    </row>
    <row r="18" spans="1:6" x14ac:dyDescent="0.25">
      <c r="A18" s="19" t="s">
        <v>17</v>
      </c>
      <c r="B18" s="20">
        <v>11057</v>
      </c>
      <c r="C18" s="16" t="s">
        <v>298</v>
      </c>
      <c r="D18" s="30"/>
      <c r="E18" s="59"/>
      <c r="F18" s="29">
        <v>3002.5721879999996</v>
      </c>
    </row>
    <row r="19" spans="1:6" x14ac:dyDescent="0.25">
      <c r="A19" s="19" t="s">
        <v>17</v>
      </c>
      <c r="B19" s="20">
        <v>11065</v>
      </c>
      <c r="C19" s="16" t="s">
        <v>299</v>
      </c>
      <c r="D19" s="30"/>
      <c r="E19" s="59"/>
      <c r="F19" s="29">
        <v>1940.0721119999998</v>
      </c>
    </row>
    <row r="20" spans="1:6" x14ac:dyDescent="0.25">
      <c r="A20" s="19" t="s">
        <v>17</v>
      </c>
      <c r="B20" s="20" t="s">
        <v>1109</v>
      </c>
      <c r="C20" s="16" t="s">
        <v>1110</v>
      </c>
      <c r="D20" s="30"/>
      <c r="E20" s="59"/>
      <c r="F20" s="29">
        <v>364.90409999999997</v>
      </c>
    </row>
    <row r="21" spans="1:6" x14ac:dyDescent="0.25">
      <c r="A21" s="19" t="s">
        <v>17</v>
      </c>
      <c r="B21" s="20" t="s">
        <v>346</v>
      </c>
      <c r="C21" s="16" t="s">
        <v>300</v>
      </c>
      <c r="D21" s="30"/>
      <c r="E21" s="59"/>
      <c r="F21" s="29">
        <v>948.73442399999999</v>
      </c>
    </row>
    <row r="22" spans="1:6" x14ac:dyDescent="0.25">
      <c r="A22" s="19" t="s">
        <v>17</v>
      </c>
      <c r="B22" s="20" t="s">
        <v>347</v>
      </c>
      <c r="C22" s="16" t="s">
        <v>301</v>
      </c>
      <c r="D22" s="30"/>
      <c r="E22" s="59"/>
      <c r="F22" s="29">
        <v>1611.7477199999998</v>
      </c>
    </row>
    <row r="23" spans="1:6" x14ac:dyDescent="0.25">
      <c r="A23" s="19" t="s">
        <v>17</v>
      </c>
      <c r="B23" s="20" t="s">
        <v>348</v>
      </c>
      <c r="C23" s="16" t="s">
        <v>22</v>
      </c>
      <c r="D23" s="30"/>
      <c r="E23" s="59"/>
      <c r="F23" s="29">
        <v>645.55959599999994</v>
      </c>
    </row>
    <row r="24" spans="1:6" x14ac:dyDescent="0.25">
      <c r="A24" s="19" t="s">
        <v>17</v>
      </c>
      <c r="B24" s="20" t="s">
        <v>349</v>
      </c>
      <c r="C24" s="16" t="s">
        <v>23</v>
      </c>
      <c r="D24" s="30"/>
      <c r="E24" s="59"/>
      <c r="F24" s="29">
        <v>1016.568432</v>
      </c>
    </row>
    <row r="25" spans="1:6" x14ac:dyDescent="0.25">
      <c r="A25" s="19" t="s">
        <v>17</v>
      </c>
      <c r="B25" s="20" t="s">
        <v>350</v>
      </c>
      <c r="C25" s="16" t="s">
        <v>24</v>
      </c>
      <c r="D25" s="30"/>
      <c r="E25" s="59"/>
      <c r="F25" s="29">
        <v>788.07920399999989</v>
      </c>
    </row>
    <row r="26" spans="1:6" x14ac:dyDescent="0.25">
      <c r="A26" s="19" t="s">
        <v>17</v>
      </c>
      <c r="B26" s="20" t="s">
        <v>351</v>
      </c>
      <c r="C26" s="16" t="s">
        <v>25</v>
      </c>
      <c r="D26" s="30"/>
      <c r="E26" s="59"/>
      <c r="F26" s="29">
        <v>901.34154000000001</v>
      </c>
    </row>
    <row r="27" spans="1:6" x14ac:dyDescent="0.25">
      <c r="A27" s="19" t="s">
        <v>17</v>
      </c>
      <c r="B27" s="20" t="s">
        <v>352</v>
      </c>
      <c r="C27" s="16" t="s">
        <v>302</v>
      </c>
      <c r="D27" s="30"/>
      <c r="E27" s="59"/>
      <c r="F27" s="29">
        <v>83.956356</v>
      </c>
    </row>
    <row r="28" spans="1:6" x14ac:dyDescent="0.25">
      <c r="A28" s="19" t="s">
        <v>17</v>
      </c>
      <c r="B28" s="20" t="s">
        <v>353</v>
      </c>
      <c r="C28" s="16" t="s">
        <v>21</v>
      </c>
      <c r="D28" s="30"/>
      <c r="E28" s="59"/>
      <c r="F28" s="29">
        <v>47.068163999999996</v>
      </c>
    </row>
    <row r="29" spans="1:6" x14ac:dyDescent="0.25">
      <c r="A29" s="19" t="s">
        <v>17</v>
      </c>
      <c r="B29" s="20">
        <v>410028</v>
      </c>
      <c r="C29" s="16" t="s">
        <v>303</v>
      </c>
      <c r="D29" s="30"/>
      <c r="E29" s="59"/>
      <c r="F29" s="29">
        <v>84.816863999999981</v>
      </c>
    </row>
    <row r="30" spans="1:6" x14ac:dyDescent="0.25">
      <c r="A30" s="19" t="s">
        <v>17</v>
      </c>
      <c r="B30" s="20">
        <v>410029</v>
      </c>
      <c r="C30" s="16" t="s">
        <v>304</v>
      </c>
      <c r="D30" s="30"/>
      <c r="E30" s="59"/>
      <c r="F30" s="29">
        <v>89.151875999999987</v>
      </c>
    </row>
    <row r="31" spans="1:6" x14ac:dyDescent="0.25">
      <c r="A31" s="19" t="s">
        <v>17</v>
      </c>
      <c r="B31" s="20">
        <v>522472</v>
      </c>
      <c r="C31" s="16" t="s">
        <v>305</v>
      </c>
      <c r="D31" s="30"/>
      <c r="E31" s="59"/>
      <c r="F31" s="29">
        <v>693.94287599999996</v>
      </c>
    </row>
    <row r="32" spans="1:6" x14ac:dyDescent="0.25">
      <c r="A32" s="19" t="s">
        <v>17</v>
      </c>
      <c r="B32" s="20">
        <v>6310241</v>
      </c>
      <c r="C32" s="16" t="s">
        <v>26</v>
      </c>
      <c r="D32" s="30"/>
      <c r="E32" s="59"/>
      <c r="F32" s="29">
        <v>211.57131599999997</v>
      </c>
    </row>
    <row r="33" spans="1:6" x14ac:dyDescent="0.25">
      <c r="A33" s="19" t="s">
        <v>17</v>
      </c>
      <c r="B33" s="20">
        <v>6320241</v>
      </c>
      <c r="C33" s="16" t="s">
        <v>27</v>
      </c>
      <c r="D33" s="30"/>
      <c r="E33" s="59"/>
      <c r="F33" s="29">
        <v>262.95825600000001</v>
      </c>
    </row>
    <row r="34" spans="1:6" x14ac:dyDescent="0.25">
      <c r="A34" s="19" t="s">
        <v>17</v>
      </c>
      <c r="B34" s="20">
        <v>6315241</v>
      </c>
      <c r="C34" s="16" t="s">
        <v>28</v>
      </c>
      <c r="D34" s="30"/>
      <c r="E34" s="59"/>
      <c r="F34" s="29">
        <v>230.08035600000002</v>
      </c>
    </row>
    <row r="35" spans="1:6" ht="15.95" customHeight="1" x14ac:dyDescent="0.25">
      <c r="A35" s="19" t="s">
        <v>17</v>
      </c>
      <c r="B35" s="20">
        <v>6315141</v>
      </c>
      <c r="C35" s="16" t="s">
        <v>29</v>
      </c>
      <c r="D35" s="30"/>
      <c r="E35" s="59"/>
      <c r="F35" s="29">
        <v>217.740996</v>
      </c>
    </row>
    <row r="36" spans="1:6" ht="15.95" customHeight="1" x14ac:dyDescent="0.25">
      <c r="C36" s="26"/>
      <c r="D36" s="26"/>
      <c r="E36" s="60"/>
      <c r="F36" s="55"/>
    </row>
    <row r="37" spans="1:6" ht="15.9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C195E-2228-2947-92DD-7CF6CE83FA67}">
  <sheetPr codeName="Sheet3"/>
  <dimension ref="A1:F36"/>
  <sheetViews>
    <sheetView topLeftCell="A16" zoomScale="120" zoomScaleNormal="120" workbookViewId="0">
      <selection activeCell="C33" sqref="C33"/>
    </sheetView>
  </sheetViews>
  <sheetFormatPr defaultColWidth="10.6015625" defaultRowHeight="16.5" x14ac:dyDescent="0.25"/>
  <cols>
    <col min="2" max="2" width="15.78125" style="75" bestFit="1" customWidth="1"/>
    <col min="3" max="3" width="67.9453125" bestFit="1" customWidth="1"/>
    <col min="4" max="4" width="19.48046875" customWidth="1"/>
    <col min="5" max="5" width="19.48046875" style="61" customWidth="1"/>
    <col min="6" max="6" width="15.1640625" style="1" customWidth="1"/>
  </cols>
  <sheetData>
    <row r="1" spans="1:6" x14ac:dyDescent="0.25">
      <c r="A1" s="19" t="s">
        <v>37</v>
      </c>
      <c r="B1" s="73">
        <v>160332</v>
      </c>
      <c r="C1" s="16" t="s">
        <v>45</v>
      </c>
      <c r="D1" s="30"/>
      <c r="E1" s="59"/>
      <c r="F1" s="29">
        <v>1875.1443479999998</v>
      </c>
    </row>
    <row r="2" spans="1:6" x14ac:dyDescent="0.25">
      <c r="A2" s="19" t="s">
        <v>37</v>
      </c>
      <c r="B2" s="73">
        <v>160301</v>
      </c>
      <c r="C2" s="16" t="s">
        <v>44</v>
      </c>
      <c r="D2" s="30"/>
      <c r="E2" s="59"/>
      <c r="F2" s="29">
        <v>1496.9592</v>
      </c>
    </row>
    <row r="3" spans="1:6" x14ac:dyDescent="0.25">
      <c r="A3" s="19" t="s">
        <v>37</v>
      </c>
      <c r="B3" s="73">
        <v>160316</v>
      </c>
      <c r="C3" s="16" t="s">
        <v>39</v>
      </c>
      <c r="D3" s="30"/>
      <c r="E3" s="59"/>
      <c r="F3" s="29">
        <v>515.363112</v>
      </c>
    </row>
    <row r="4" spans="1:6" x14ac:dyDescent="0.25">
      <c r="A4" s="19" t="s">
        <v>37</v>
      </c>
      <c r="B4" s="73">
        <v>160355</v>
      </c>
      <c r="C4" s="16" t="s">
        <v>40</v>
      </c>
      <c r="D4" s="30"/>
      <c r="E4" s="59"/>
      <c r="F4" s="29">
        <v>565.24010399999997</v>
      </c>
    </row>
    <row r="5" spans="1:6" x14ac:dyDescent="0.25">
      <c r="A5" s="19" t="s">
        <v>37</v>
      </c>
      <c r="B5" s="73">
        <v>160318</v>
      </c>
      <c r="C5" s="16" t="s">
        <v>41</v>
      </c>
      <c r="D5" s="30"/>
      <c r="E5" s="59"/>
      <c r="F5" s="29">
        <v>571.23118799999997</v>
      </c>
    </row>
    <row r="6" spans="1:6" x14ac:dyDescent="0.25">
      <c r="A6" s="19" t="s">
        <v>37</v>
      </c>
      <c r="B6" s="74" t="s">
        <v>1070</v>
      </c>
      <c r="C6" s="24" t="s">
        <v>1071</v>
      </c>
      <c r="D6" s="30"/>
      <c r="E6" s="59"/>
      <c r="F6" s="29">
        <v>1102.164624</v>
      </c>
    </row>
    <row r="7" spans="1:6" x14ac:dyDescent="0.25">
      <c r="A7" s="19" t="s">
        <v>37</v>
      </c>
      <c r="B7" s="73" t="s">
        <v>354</v>
      </c>
      <c r="C7" s="16" t="s">
        <v>310</v>
      </c>
      <c r="D7" s="30"/>
      <c r="E7" s="59"/>
      <c r="F7" s="29">
        <v>43.268940000000001</v>
      </c>
    </row>
    <row r="8" spans="1:6" x14ac:dyDescent="0.25">
      <c r="A8" s="19" t="s">
        <v>37</v>
      </c>
      <c r="B8" s="73">
        <v>98209800</v>
      </c>
      <c r="C8" s="16" t="s">
        <v>46</v>
      </c>
      <c r="D8" s="30"/>
      <c r="E8" s="59"/>
      <c r="F8" s="29">
        <v>40.914720000000003</v>
      </c>
    </row>
    <row r="9" spans="1:6" x14ac:dyDescent="0.25">
      <c r="A9" s="19" t="s">
        <v>37</v>
      </c>
      <c r="B9" s="73">
        <v>190003</v>
      </c>
      <c r="C9" s="16" t="s">
        <v>47</v>
      </c>
      <c r="D9" s="30"/>
      <c r="E9" s="59"/>
      <c r="F9" s="29">
        <v>387.30978000000005</v>
      </c>
    </row>
    <row r="10" spans="1:6" x14ac:dyDescent="0.25">
      <c r="A10" s="19" t="s">
        <v>37</v>
      </c>
      <c r="B10" s="73">
        <v>160340</v>
      </c>
      <c r="C10" s="16" t="s">
        <v>43</v>
      </c>
      <c r="D10" s="30"/>
      <c r="E10" s="59"/>
      <c r="F10" s="29">
        <v>1311.5116079999998</v>
      </c>
    </row>
    <row r="11" spans="1:6" x14ac:dyDescent="0.25">
      <c r="A11" s="19" t="s">
        <v>37</v>
      </c>
      <c r="B11" s="73" t="s">
        <v>355</v>
      </c>
      <c r="C11" s="16" t="s">
        <v>311</v>
      </c>
      <c r="D11" s="30"/>
      <c r="E11" s="59"/>
      <c r="F11" s="29">
        <v>188.02911599999999</v>
      </c>
    </row>
    <row r="12" spans="1:6" x14ac:dyDescent="0.25">
      <c r="A12" s="19" t="s">
        <v>37</v>
      </c>
      <c r="B12" s="73" t="s">
        <v>1136</v>
      </c>
      <c r="C12" s="16" t="s">
        <v>1137</v>
      </c>
      <c r="D12" s="30"/>
      <c r="E12" s="59"/>
      <c r="F12" s="29">
        <v>352.25625600000001</v>
      </c>
    </row>
    <row r="13" spans="1:6" x14ac:dyDescent="0.25">
      <c r="A13" s="19" t="s">
        <v>37</v>
      </c>
      <c r="B13" s="73">
        <v>160310</v>
      </c>
      <c r="C13" s="16" t="s">
        <v>42</v>
      </c>
      <c r="D13" s="30"/>
      <c r="E13" s="59"/>
      <c r="F13" s="29">
        <v>1065.4550280000001</v>
      </c>
    </row>
    <row r="14" spans="1:6" x14ac:dyDescent="0.25">
      <c r="A14" s="19" t="s">
        <v>37</v>
      </c>
      <c r="B14" s="73">
        <v>160314</v>
      </c>
      <c r="C14" s="16" t="s">
        <v>38</v>
      </c>
      <c r="D14" s="30"/>
      <c r="E14" s="59"/>
      <c r="F14" s="29">
        <v>453.909852</v>
      </c>
    </row>
    <row r="15" spans="1:6" x14ac:dyDescent="0.25">
      <c r="A15" s="19" t="s">
        <v>37</v>
      </c>
      <c r="B15" s="74" t="s">
        <v>356</v>
      </c>
      <c r="C15" s="24" t="s">
        <v>312</v>
      </c>
      <c r="D15" s="30"/>
      <c r="E15" s="59"/>
      <c r="F15" s="29">
        <v>129.96917999999999</v>
      </c>
    </row>
    <row r="16" spans="1:6" x14ac:dyDescent="0.25">
      <c r="A16" s="19" t="s">
        <v>37</v>
      </c>
      <c r="B16" s="73">
        <v>98960311</v>
      </c>
      <c r="C16" s="16" t="s">
        <v>357</v>
      </c>
      <c r="D16" s="30"/>
      <c r="E16" s="59"/>
      <c r="F16" s="29">
        <v>90.288395999999992</v>
      </c>
    </row>
    <row r="17" spans="1:6" x14ac:dyDescent="0.25">
      <c r="A17" s="19" t="s">
        <v>37</v>
      </c>
      <c r="B17" s="73" t="s">
        <v>358</v>
      </c>
      <c r="C17" s="16" t="s">
        <v>48</v>
      </c>
      <c r="D17" s="30"/>
      <c r="E17" s="59"/>
      <c r="F17" s="29">
        <v>63.937368000000006</v>
      </c>
    </row>
    <row r="18" spans="1:6" x14ac:dyDescent="0.25">
      <c r="A18" s="19" t="s">
        <v>37</v>
      </c>
      <c r="B18" s="73">
        <v>178553</v>
      </c>
      <c r="C18" s="16" t="s">
        <v>313</v>
      </c>
      <c r="D18" s="30"/>
      <c r="E18" s="59"/>
      <c r="F18" s="29">
        <v>224.59258799999998</v>
      </c>
    </row>
    <row r="19" spans="1:6" x14ac:dyDescent="0.25">
      <c r="A19" s="19" t="s">
        <v>37</v>
      </c>
      <c r="B19" s="73">
        <v>86202000</v>
      </c>
      <c r="C19" s="16" t="s">
        <v>314</v>
      </c>
      <c r="D19" s="30"/>
      <c r="E19" s="59"/>
      <c r="F19" s="29">
        <v>31.725143999999997</v>
      </c>
    </row>
    <row r="20" spans="1:6" x14ac:dyDescent="0.25">
      <c r="A20" s="19" t="s">
        <v>37</v>
      </c>
      <c r="B20" s="73">
        <v>59052900</v>
      </c>
      <c r="C20" s="16" t="s">
        <v>315</v>
      </c>
      <c r="D20" s="30"/>
      <c r="E20" s="59"/>
      <c r="F20" s="29">
        <v>143.91590399999998</v>
      </c>
    </row>
    <row r="21" spans="1:6" x14ac:dyDescent="0.25">
      <c r="A21" s="19" t="s">
        <v>37</v>
      </c>
      <c r="B21" s="73" t="s">
        <v>359</v>
      </c>
      <c r="C21" s="16" t="s">
        <v>53</v>
      </c>
      <c r="D21" s="30"/>
      <c r="E21" s="59"/>
      <c r="F21" s="29">
        <v>93.909024000000002</v>
      </c>
    </row>
    <row r="22" spans="1:6" x14ac:dyDescent="0.25">
      <c r="A22" s="19" t="s">
        <v>37</v>
      </c>
      <c r="B22" s="73" t="s">
        <v>360</v>
      </c>
      <c r="C22" s="16" t="s">
        <v>54</v>
      </c>
      <c r="D22" s="30"/>
      <c r="E22" s="59"/>
      <c r="F22" s="29">
        <v>162.92825999999999</v>
      </c>
    </row>
    <row r="23" spans="1:6" x14ac:dyDescent="0.25">
      <c r="A23" s="19" t="s">
        <v>37</v>
      </c>
      <c r="B23" s="73" t="s">
        <v>361</v>
      </c>
      <c r="C23" s="16" t="s">
        <v>55</v>
      </c>
      <c r="D23" s="30"/>
      <c r="E23" s="59"/>
      <c r="F23" s="29">
        <v>81.374831999999998</v>
      </c>
    </row>
    <row r="24" spans="1:6" x14ac:dyDescent="0.25">
      <c r="A24" s="19" t="s">
        <v>37</v>
      </c>
      <c r="B24" s="73" t="s">
        <v>362</v>
      </c>
      <c r="C24" s="16" t="s">
        <v>56</v>
      </c>
      <c r="D24" s="30"/>
      <c r="E24" s="59"/>
      <c r="F24" s="29">
        <v>128.00462399999998</v>
      </c>
    </row>
    <row r="25" spans="1:6" x14ac:dyDescent="0.25">
      <c r="A25" s="19" t="s">
        <v>37</v>
      </c>
      <c r="B25" s="73">
        <v>170027</v>
      </c>
      <c r="C25" s="16" t="s">
        <v>316</v>
      </c>
      <c r="D25" s="30"/>
      <c r="E25" s="59"/>
      <c r="F25" s="29">
        <v>97.237404000000012</v>
      </c>
    </row>
    <row r="26" spans="1:6" x14ac:dyDescent="0.25">
      <c r="A26" s="19" t="s">
        <v>37</v>
      </c>
      <c r="B26" s="73" t="s">
        <v>363</v>
      </c>
      <c r="C26" s="16" t="s">
        <v>49</v>
      </c>
      <c r="D26" s="30"/>
      <c r="E26" s="59"/>
      <c r="F26" s="29">
        <v>411.95602799999995</v>
      </c>
    </row>
    <row r="27" spans="1:6" x14ac:dyDescent="0.25">
      <c r="A27" s="19" t="s">
        <v>37</v>
      </c>
      <c r="B27" s="73" t="s">
        <v>364</v>
      </c>
      <c r="C27" s="16" t="s">
        <v>317</v>
      </c>
      <c r="D27" s="30"/>
      <c r="E27" s="59"/>
      <c r="F27" s="29">
        <v>478.19890799999996</v>
      </c>
    </row>
    <row r="28" spans="1:6" x14ac:dyDescent="0.25">
      <c r="A28" s="19" t="s">
        <v>37</v>
      </c>
      <c r="B28" s="73" t="s">
        <v>365</v>
      </c>
      <c r="C28" s="16" t="s">
        <v>318</v>
      </c>
      <c r="D28" s="30"/>
      <c r="E28" s="59"/>
      <c r="F28" s="29">
        <v>298.61251199999992</v>
      </c>
    </row>
    <row r="29" spans="1:6" x14ac:dyDescent="0.25">
      <c r="A29" s="19" t="s">
        <v>37</v>
      </c>
      <c r="B29" s="73" t="s">
        <v>366</v>
      </c>
      <c r="C29" s="16" t="s">
        <v>319</v>
      </c>
      <c r="D29" s="30"/>
      <c r="E29" s="59"/>
      <c r="F29" s="29">
        <v>389.404224</v>
      </c>
    </row>
    <row r="30" spans="1:6" x14ac:dyDescent="0.25">
      <c r="A30" s="19" t="s">
        <v>37</v>
      </c>
      <c r="B30" s="73" t="s">
        <v>367</v>
      </c>
      <c r="C30" s="16" t="s">
        <v>50</v>
      </c>
      <c r="D30" s="30"/>
      <c r="E30" s="59"/>
      <c r="F30" s="29">
        <v>331.50664799999998</v>
      </c>
    </row>
    <row r="31" spans="1:6" x14ac:dyDescent="0.25">
      <c r="A31" s="19" t="s">
        <v>37</v>
      </c>
      <c r="B31" s="73" t="s">
        <v>368</v>
      </c>
      <c r="C31" s="16" t="s">
        <v>51</v>
      </c>
      <c r="D31" s="30"/>
      <c r="E31" s="59"/>
      <c r="F31" s="29">
        <v>511.69377600000001</v>
      </c>
    </row>
    <row r="32" spans="1:6" x14ac:dyDescent="0.25">
      <c r="A32" s="19" t="s">
        <v>37</v>
      </c>
      <c r="B32" s="73" t="s">
        <v>369</v>
      </c>
      <c r="C32" s="16" t="s">
        <v>52</v>
      </c>
      <c r="D32" s="30"/>
      <c r="E32" s="59"/>
      <c r="F32" s="29">
        <v>257.74649999999997</v>
      </c>
    </row>
    <row r="33" spans="1:6" x14ac:dyDescent="0.25">
      <c r="A33" s="19" t="s">
        <v>37</v>
      </c>
      <c r="B33" s="73">
        <v>51008400</v>
      </c>
      <c r="C33" s="16" t="s">
        <v>320</v>
      </c>
      <c r="D33" s="30"/>
      <c r="E33" s="59"/>
      <c r="F33" s="29">
        <v>34.923636000000002</v>
      </c>
    </row>
    <row r="34" spans="1:6" x14ac:dyDescent="0.25">
      <c r="A34" s="19" t="s">
        <v>37</v>
      </c>
      <c r="B34" s="74" t="s">
        <v>370</v>
      </c>
      <c r="C34" s="24" t="s">
        <v>321</v>
      </c>
      <c r="D34" s="33"/>
      <c r="E34" s="59"/>
      <c r="F34" s="29">
        <v>55.527119999999996</v>
      </c>
    </row>
    <row r="35" spans="1:6" x14ac:dyDescent="0.25">
      <c r="A35" s="19" t="s">
        <v>37</v>
      </c>
      <c r="B35" s="74" t="s">
        <v>372</v>
      </c>
      <c r="C35" s="24" t="s">
        <v>373</v>
      </c>
      <c r="D35" s="33"/>
      <c r="E35" s="59"/>
      <c r="F35" s="29">
        <v>470.76282000000003</v>
      </c>
    </row>
    <row r="36" spans="1:6" x14ac:dyDescent="0.25">
      <c r="A36" s="19" t="s">
        <v>37</v>
      </c>
      <c r="B36" s="76" t="s">
        <v>1100</v>
      </c>
      <c r="C36" s="77" t="s">
        <v>1101</v>
      </c>
      <c r="D36" s="77"/>
      <c r="E36" s="78"/>
      <c r="F36" s="79">
        <v>950.84510399999988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16879-8CE0-0747-8A85-1E11D8FF9A4F}">
  <sheetPr codeName="Sheet4"/>
  <dimension ref="A1:F27"/>
  <sheetViews>
    <sheetView topLeftCell="A17" zoomScale="130" zoomScaleNormal="130" workbookViewId="0">
      <selection activeCell="F2" sqref="F2"/>
    </sheetView>
  </sheetViews>
  <sheetFormatPr defaultColWidth="10.6015625" defaultRowHeight="16.5" x14ac:dyDescent="0.25"/>
  <cols>
    <col min="1" max="1" width="11.21875" bestFit="1" customWidth="1"/>
    <col min="2" max="2" width="11.21875" style="21" bestFit="1" customWidth="1"/>
    <col min="3" max="3" width="54.99609375" style="21" bestFit="1" customWidth="1"/>
    <col min="4" max="4" width="19.48046875" style="21" customWidth="1"/>
    <col min="5" max="5" width="17.38671875" style="62" customWidth="1"/>
    <col min="6" max="6" width="10.6015625" style="1"/>
  </cols>
  <sheetData>
    <row r="1" spans="1:6" x14ac:dyDescent="0.25">
      <c r="A1" s="19" t="s">
        <v>218</v>
      </c>
      <c r="B1" s="20">
        <v>620425</v>
      </c>
      <c r="C1" s="16" t="s">
        <v>220</v>
      </c>
      <c r="D1" s="30"/>
      <c r="E1" s="59"/>
      <c r="F1" s="29">
        <v>665.26</v>
      </c>
    </row>
    <row r="2" spans="1:6" x14ac:dyDescent="0.25">
      <c r="A2" s="19" t="s">
        <v>218</v>
      </c>
      <c r="B2" s="20">
        <v>602144</v>
      </c>
      <c r="C2" s="16" t="s">
        <v>322</v>
      </c>
      <c r="D2" s="30"/>
      <c r="E2" s="59"/>
      <c r="F2" s="29">
        <v>702.64537199999984</v>
      </c>
    </row>
    <row r="3" spans="1:6" x14ac:dyDescent="0.25">
      <c r="A3" s="19" t="s">
        <v>218</v>
      </c>
      <c r="B3" s="20">
        <v>602153</v>
      </c>
      <c r="C3" s="16" t="s">
        <v>227</v>
      </c>
      <c r="D3" s="30"/>
      <c r="E3" s="59"/>
      <c r="F3" s="29">
        <v>1159.9972560000001</v>
      </c>
    </row>
    <row r="4" spans="1:6" x14ac:dyDescent="0.25">
      <c r="A4" s="19" t="s">
        <v>218</v>
      </c>
      <c r="B4" s="20">
        <v>602199</v>
      </c>
      <c r="C4" s="16" t="s">
        <v>230</v>
      </c>
      <c r="D4" s="30"/>
      <c r="E4" s="59"/>
      <c r="F4" s="29">
        <v>1302.7604040000001</v>
      </c>
    </row>
    <row r="5" spans="1:6" x14ac:dyDescent="0.25">
      <c r="A5" s="19" t="s">
        <v>218</v>
      </c>
      <c r="B5" s="20">
        <v>602145</v>
      </c>
      <c r="C5" s="16" t="s">
        <v>323</v>
      </c>
      <c r="D5" s="30"/>
      <c r="E5" s="59"/>
      <c r="F5" s="29">
        <v>705.53537999999992</v>
      </c>
    </row>
    <row r="6" spans="1:6" x14ac:dyDescent="0.25">
      <c r="A6" s="19" t="s">
        <v>218</v>
      </c>
      <c r="B6" s="20">
        <v>618017</v>
      </c>
      <c r="C6" s="16" t="s">
        <v>232</v>
      </c>
      <c r="D6" s="30"/>
      <c r="E6" s="59"/>
      <c r="F6" s="29">
        <v>906.0824520000001</v>
      </c>
    </row>
    <row r="7" spans="1:6" x14ac:dyDescent="0.25">
      <c r="A7" s="19" t="s">
        <v>218</v>
      </c>
      <c r="B7" s="20">
        <v>602152</v>
      </c>
      <c r="C7" s="16" t="s">
        <v>226</v>
      </c>
      <c r="D7" s="30"/>
      <c r="E7" s="59"/>
      <c r="F7" s="29">
        <v>987.61964399999988</v>
      </c>
    </row>
    <row r="8" spans="1:6" x14ac:dyDescent="0.25">
      <c r="A8" s="19" t="s">
        <v>218</v>
      </c>
      <c r="B8" s="20">
        <v>602198</v>
      </c>
      <c r="C8" s="16" t="s">
        <v>229</v>
      </c>
      <c r="D8" s="30"/>
      <c r="E8" s="59"/>
      <c r="F8" s="29">
        <v>835.73186400000009</v>
      </c>
    </row>
    <row r="9" spans="1:6" x14ac:dyDescent="0.25">
      <c r="A9" s="19" t="s">
        <v>218</v>
      </c>
      <c r="B9" s="20">
        <v>602154</v>
      </c>
      <c r="C9" s="16" t="s">
        <v>228</v>
      </c>
      <c r="D9" s="30"/>
      <c r="E9" s="59"/>
      <c r="F9" s="29">
        <v>1165.7610359999999</v>
      </c>
    </row>
    <row r="10" spans="1:6" x14ac:dyDescent="0.25">
      <c r="A10" s="19" t="s">
        <v>218</v>
      </c>
      <c r="B10" s="20">
        <v>602146</v>
      </c>
      <c r="C10" s="16" t="s">
        <v>324</v>
      </c>
      <c r="D10" s="30"/>
      <c r="E10" s="59"/>
      <c r="F10" s="29">
        <v>829.85443199999986</v>
      </c>
    </row>
    <row r="11" spans="1:6" x14ac:dyDescent="0.25">
      <c r="A11" s="19" t="s">
        <v>218</v>
      </c>
      <c r="B11" s="20">
        <v>618016</v>
      </c>
      <c r="C11" s="16" t="s">
        <v>231</v>
      </c>
      <c r="D11" s="30"/>
      <c r="E11" s="59"/>
      <c r="F11" s="29">
        <v>846.83728799999994</v>
      </c>
    </row>
    <row r="12" spans="1:6" x14ac:dyDescent="0.25">
      <c r="A12" s="19" t="s">
        <v>218</v>
      </c>
      <c r="B12" s="20">
        <v>602142</v>
      </c>
      <c r="C12" s="16" t="s">
        <v>325</v>
      </c>
      <c r="D12" s="30"/>
      <c r="E12" s="59"/>
      <c r="F12" s="29">
        <v>1170.9240840000002</v>
      </c>
    </row>
    <row r="13" spans="1:6" x14ac:dyDescent="0.25">
      <c r="A13" s="19" t="s">
        <v>218</v>
      </c>
      <c r="B13" s="20">
        <v>620426</v>
      </c>
      <c r="C13" s="16" t="s">
        <v>221</v>
      </c>
      <c r="D13" s="30"/>
      <c r="E13" s="59"/>
      <c r="F13" s="29">
        <v>730.24657199999979</v>
      </c>
    </row>
    <row r="14" spans="1:6" x14ac:dyDescent="0.25">
      <c r="A14" s="19" t="s">
        <v>218</v>
      </c>
      <c r="B14" s="20">
        <v>620429</v>
      </c>
      <c r="C14" s="16" t="s">
        <v>223</v>
      </c>
      <c r="D14" s="30"/>
      <c r="E14" s="59"/>
      <c r="F14" s="29">
        <v>511.38529199999994</v>
      </c>
    </row>
    <row r="15" spans="1:6" x14ac:dyDescent="0.25">
      <c r="A15" s="19" t="s">
        <v>218</v>
      </c>
      <c r="B15" s="20">
        <v>620424</v>
      </c>
      <c r="C15" s="16" t="s">
        <v>219</v>
      </c>
      <c r="D15" s="30"/>
      <c r="E15" s="59"/>
      <c r="F15" s="29">
        <v>484.61212799999998</v>
      </c>
    </row>
    <row r="16" spans="1:6" x14ac:dyDescent="0.25">
      <c r="A16" s="19" t="s">
        <v>218</v>
      </c>
      <c r="B16" s="20">
        <v>620430</v>
      </c>
      <c r="C16" s="16" t="s">
        <v>224</v>
      </c>
      <c r="D16" s="30"/>
      <c r="E16" s="59"/>
      <c r="F16" s="29">
        <v>592.15939200000003</v>
      </c>
    </row>
    <row r="17" spans="1:6" x14ac:dyDescent="0.25">
      <c r="A17" s="19" t="s">
        <v>218</v>
      </c>
      <c r="B17" s="20">
        <v>620428</v>
      </c>
      <c r="C17" s="16" t="s">
        <v>222</v>
      </c>
      <c r="D17" s="30"/>
      <c r="E17" s="59"/>
      <c r="F17" s="29">
        <v>409.99147199999993</v>
      </c>
    </row>
    <row r="18" spans="1:6" x14ac:dyDescent="0.25">
      <c r="A18" s="19" t="s">
        <v>218</v>
      </c>
      <c r="B18" s="20" t="s">
        <v>374</v>
      </c>
      <c r="C18" s="16" t="s">
        <v>326</v>
      </c>
      <c r="D18" s="30"/>
      <c r="E18" s="59"/>
      <c r="F18" s="29">
        <v>37.829879999999996</v>
      </c>
    </row>
    <row r="19" spans="1:6" x14ac:dyDescent="0.25">
      <c r="A19" s="19" t="s">
        <v>218</v>
      </c>
      <c r="B19" s="20">
        <v>618040</v>
      </c>
      <c r="C19" s="16" t="s">
        <v>225</v>
      </c>
      <c r="D19" s="30"/>
      <c r="E19" s="59"/>
      <c r="F19" s="29">
        <v>32.536943999999991</v>
      </c>
    </row>
    <row r="20" spans="1:6" x14ac:dyDescent="0.25">
      <c r="A20" s="19" t="s">
        <v>218</v>
      </c>
      <c r="B20" s="20">
        <v>619963</v>
      </c>
      <c r="C20" s="16" t="s">
        <v>237</v>
      </c>
      <c r="D20" s="30"/>
      <c r="E20" s="59"/>
      <c r="F20" s="29">
        <v>184.652028</v>
      </c>
    </row>
    <row r="21" spans="1:6" x14ac:dyDescent="0.25">
      <c r="A21" s="19" t="s">
        <v>218</v>
      </c>
      <c r="B21" s="20">
        <v>79206700</v>
      </c>
      <c r="C21" s="16" t="s">
        <v>327</v>
      </c>
      <c r="D21" s="30"/>
      <c r="E21" s="59"/>
      <c r="F21" s="29">
        <v>85.677372000000005</v>
      </c>
    </row>
    <row r="22" spans="1:6" x14ac:dyDescent="0.25">
      <c r="A22" s="19" t="s">
        <v>218</v>
      </c>
      <c r="B22" s="20">
        <v>79206600</v>
      </c>
      <c r="C22" s="16" t="s">
        <v>328</v>
      </c>
      <c r="D22" s="30"/>
      <c r="E22" s="59"/>
      <c r="F22" s="29">
        <v>80.092187999999993</v>
      </c>
    </row>
    <row r="23" spans="1:6" x14ac:dyDescent="0.25">
      <c r="A23" s="19" t="s">
        <v>218</v>
      </c>
      <c r="B23" s="20" t="s">
        <v>781</v>
      </c>
      <c r="C23" s="16" t="s">
        <v>329</v>
      </c>
      <c r="D23" s="30"/>
      <c r="E23" s="59"/>
      <c r="F23" s="29">
        <v>1681.2215639999997</v>
      </c>
    </row>
    <row r="24" spans="1:6" x14ac:dyDescent="0.25">
      <c r="A24" s="19" t="s">
        <v>218</v>
      </c>
      <c r="B24" s="20" t="s">
        <v>783</v>
      </c>
      <c r="C24" s="16" t="s">
        <v>233</v>
      </c>
      <c r="D24" s="30"/>
      <c r="E24" s="59"/>
      <c r="F24" s="29">
        <v>123.88068</v>
      </c>
    </row>
    <row r="25" spans="1:6" x14ac:dyDescent="0.25">
      <c r="A25" s="19" t="s">
        <v>218</v>
      </c>
      <c r="B25" s="20" t="s">
        <v>785</v>
      </c>
      <c r="C25" s="16" t="s">
        <v>235</v>
      </c>
      <c r="D25" s="30"/>
      <c r="E25" s="59"/>
      <c r="F25" s="29">
        <v>72.136548000000005</v>
      </c>
    </row>
    <row r="26" spans="1:6" x14ac:dyDescent="0.25">
      <c r="A26" s="19" t="s">
        <v>218</v>
      </c>
      <c r="B26" s="20" t="s">
        <v>787</v>
      </c>
      <c r="C26" s="16" t="s">
        <v>234</v>
      </c>
      <c r="D26" s="30"/>
      <c r="E26" s="59"/>
      <c r="F26" s="29">
        <v>241.98134399999998</v>
      </c>
    </row>
    <row r="27" spans="1:6" x14ac:dyDescent="0.25">
      <c r="A27" s="19" t="s">
        <v>218</v>
      </c>
      <c r="B27" s="20" t="s">
        <v>789</v>
      </c>
      <c r="C27" s="16" t="s">
        <v>236</v>
      </c>
      <c r="D27" s="30"/>
      <c r="E27" s="59"/>
      <c r="F27" s="29">
        <v>130.34260799999998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D1F2F-27CF-E64B-B35B-66D4AA973FE2}">
  <sheetPr codeName="Sheet5"/>
  <dimension ref="A1:F36"/>
  <sheetViews>
    <sheetView topLeftCell="A46" zoomScale="110" zoomScaleNormal="110" workbookViewId="0">
      <selection activeCell="F35" sqref="F35:F36"/>
    </sheetView>
  </sheetViews>
  <sheetFormatPr defaultColWidth="10.6015625" defaultRowHeight="16.5" x14ac:dyDescent="0.25"/>
  <cols>
    <col min="1" max="1" width="18.49609375" bestFit="1" customWidth="1"/>
    <col min="2" max="2" width="17.015625" bestFit="1" customWidth="1"/>
    <col min="3" max="3" width="57.4609375" style="21" bestFit="1" customWidth="1"/>
    <col min="4" max="4" width="17.87890625" style="21" customWidth="1"/>
    <col min="5" max="5" width="14.30078125" style="62" customWidth="1"/>
    <col min="6" max="6" width="17.38671875" style="1" customWidth="1"/>
  </cols>
  <sheetData>
    <row r="1" spans="1:6" x14ac:dyDescent="0.25">
      <c r="A1" s="19" t="s">
        <v>165</v>
      </c>
      <c r="B1" s="16" t="s">
        <v>375</v>
      </c>
      <c r="C1" s="16" t="s">
        <v>166</v>
      </c>
      <c r="D1" s="30"/>
      <c r="E1" s="59"/>
      <c r="F1" s="29">
        <v>212.07463200000001</v>
      </c>
    </row>
    <row r="2" spans="1:6" x14ac:dyDescent="0.25">
      <c r="A2" s="19" t="s">
        <v>165</v>
      </c>
      <c r="B2" s="16" t="s">
        <v>376</v>
      </c>
      <c r="C2" s="16" t="s">
        <v>296</v>
      </c>
      <c r="D2" s="30"/>
      <c r="E2" s="59"/>
      <c r="F2" s="29">
        <v>20.717135999999996</v>
      </c>
    </row>
    <row r="3" spans="1:6" x14ac:dyDescent="0.25">
      <c r="A3" s="19" t="s">
        <v>165</v>
      </c>
      <c r="B3" s="16" t="s">
        <v>377</v>
      </c>
      <c r="C3" s="16" t="s">
        <v>167</v>
      </c>
      <c r="D3" s="30"/>
      <c r="E3" s="59"/>
      <c r="F3" s="29">
        <v>60.219324</v>
      </c>
    </row>
    <row r="4" spans="1:6" x14ac:dyDescent="0.25">
      <c r="A4" s="19" t="s">
        <v>165</v>
      </c>
      <c r="B4" s="20">
        <v>3004</v>
      </c>
      <c r="C4" s="16" t="s">
        <v>168</v>
      </c>
      <c r="D4" s="30"/>
      <c r="E4" s="59"/>
      <c r="F4" s="29">
        <v>57.248135999999988</v>
      </c>
    </row>
    <row r="5" spans="1:6" x14ac:dyDescent="0.25">
      <c r="A5" s="19" t="s">
        <v>165</v>
      </c>
      <c r="B5" s="16" t="s">
        <v>378</v>
      </c>
      <c r="C5" s="16" t="s">
        <v>169</v>
      </c>
      <c r="D5" s="30"/>
      <c r="E5" s="59"/>
      <c r="F5" s="29">
        <v>22.600511999999995</v>
      </c>
    </row>
    <row r="6" spans="1:6" x14ac:dyDescent="0.25">
      <c r="A6" s="19" t="s">
        <v>165</v>
      </c>
      <c r="B6" s="16" t="s">
        <v>379</v>
      </c>
      <c r="C6" s="16" t="s">
        <v>170</v>
      </c>
      <c r="D6" s="30"/>
      <c r="E6" s="59"/>
      <c r="F6" s="29">
        <v>117.857124</v>
      </c>
    </row>
    <row r="7" spans="1:6" x14ac:dyDescent="0.25">
      <c r="A7" s="19" t="s">
        <v>165</v>
      </c>
      <c r="B7" s="20">
        <v>116</v>
      </c>
      <c r="C7" s="16" t="s">
        <v>171</v>
      </c>
      <c r="D7" s="30"/>
      <c r="E7" s="59"/>
      <c r="F7" s="29">
        <v>112.450536</v>
      </c>
    </row>
    <row r="8" spans="1:6" x14ac:dyDescent="0.25">
      <c r="A8" s="19" t="s">
        <v>165</v>
      </c>
      <c r="B8" s="16" t="s">
        <v>380</v>
      </c>
      <c r="C8" s="16" t="s">
        <v>172</v>
      </c>
      <c r="D8" s="30"/>
      <c r="E8" s="59"/>
      <c r="F8" s="29">
        <v>198.452628</v>
      </c>
    </row>
    <row r="9" spans="1:6" x14ac:dyDescent="0.25">
      <c r="A9" s="19" t="s">
        <v>165</v>
      </c>
      <c r="B9" s="16" t="s">
        <v>381</v>
      </c>
      <c r="C9" s="16" t="s">
        <v>173</v>
      </c>
      <c r="D9" s="30"/>
      <c r="E9" s="59"/>
      <c r="F9" s="29">
        <v>41.547923999999995</v>
      </c>
    </row>
    <row r="10" spans="1:6" x14ac:dyDescent="0.25">
      <c r="A10" s="19" t="s">
        <v>165</v>
      </c>
      <c r="B10" s="16" t="s">
        <v>382</v>
      </c>
      <c r="C10" s="16" t="s">
        <v>174</v>
      </c>
      <c r="D10" s="30"/>
      <c r="E10" s="59"/>
      <c r="F10" s="29">
        <v>16.690607999999997</v>
      </c>
    </row>
    <row r="11" spans="1:6" x14ac:dyDescent="0.25">
      <c r="A11" s="19" t="s">
        <v>165</v>
      </c>
      <c r="B11" s="20">
        <v>562227</v>
      </c>
      <c r="C11" s="16" t="s">
        <v>175</v>
      </c>
      <c r="D11" s="30"/>
      <c r="E11" s="59"/>
      <c r="F11" s="29">
        <v>9.9689040000000002</v>
      </c>
    </row>
    <row r="12" spans="1:6" x14ac:dyDescent="0.25">
      <c r="A12" s="19" t="s">
        <v>165</v>
      </c>
      <c r="B12" s="20">
        <v>561683</v>
      </c>
      <c r="C12" s="16" t="s">
        <v>176</v>
      </c>
      <c r="D12" s="30"/>
      <c r="E12" s="59"/>
      <c r="F12" s="29">
        <v>13.134923999999998</v>
      </c>
    </row>
    <row r="13" spans="1:6" x14ac:dyDescent="0.25">
      <c r="A13" s="19" t="s">
        <v>165</v>
      </c>
      <c r="B13" s="16" t="s">
        <v>383</v>
      </c>
      <c r="C13" s="16" t="s">
        <v>177</v>
      </c>
      <c r="D13" s="30"/>
      <c r="E13" s="59"/>
      <c r="F13" s="29">
        <v>8.9460359999999994</v>
      </c>
    </row>
    <row r="14" spans="1:6" x14ac:dyDescent="0.25">
      <c r="A14" s="19" t="s">
        <v>165</v>
      </c>
      <c r="B14" s="20">
        <v>631</v>
      </c>
      <c r="C14" s="16" t="s">
        <v>178</v>
      </c>
      <c r="D14" s="30"/>
      <c r="E14" s="59"/>
      <c r="F14" s="29">
        <v>11.527559999999998</v>
      </c>
    </row>
    <row r="15" spans="1:6" x14ac:dyDescent="0.25">
      <c r="A15" s="19" t="s">
        <v>165</v>
      </c>
      <c r="B15" s="20">
        <v>513526</v>
      </c>
      <c r="C15" s="16" t="s">
        <v>179</v>
      </c>
      <c r="D15" s="30"/>
      <c r="E15" s="59"/>
      <c r="F15" s="29">
        <v>1.087812</v>
      </c>
    </row>
    <row r="16" spans="1:6" x14ac:dyDescent="0.25">
      <c r="A16" s="19" t="s">
        <v>165</v>
      </c>
      <c r="B16" s="16" t="s">
        <v>384</v>
      </c>
      <c r="C16" s="16" t="s">
        <v>180</v>
      </c>
      <c r="D16" s="30"/>
      <c r="E16" s="59"/>
      <c r="F16" s="29">
        <v>20.522304000000002</v>
      </c>
    </row>
    <row r="17" spans="1:6" x14ac:dyDescent="0.25">
      <c r="A17" s="19" t="s">
        <v>165</v>
      </c>
      <c r="B17" s="20">
        <v>530318</v>
      </c>
      <c r="C17" s="16" t="s">
        <v>181</v>
      </c>
      <c r="D17" s="30"/>
      <c r="E17" s="59"/>
      <c r="F17" s="29">
        <v>25.636644</v>
      </c>
    </row>
    <row r="18" spans="1:6" x14ac:dyDescent="0.25">
      <c r="A18" s="19" t="s">
        <v>165</v>
      </c>
      <c r="B18" s="16" t="s">
        <v>385</v>
      </c>
      <c r="C18" s="16" t="s">
        <v>182</v>
      </c>
      <c r="D18" s="30"/>
      <c r="E18" s="59"/>
      <c r="F18" s="29">
        <v>66.064283999999986</v>
      </c>
    </row>
    <row r="19" spans="1:6" x14ac:dyDescent="0.25">
      <c r="A19" s="19" t="s">
        <v>165</v>
      </c>
      <c r="B19" s="16" t="s">
        <v>386</v>
      </c>
      <c r="C19" s="16" t="s">
        <v>183</v>
      </c>
      <c r="D19" s="30"/>
      <c r="E19" s="59"/>
      <c r="F19" s="29">
        <v>77.640551999999985</v>
      </c>
    </row>
    <row r="20" spans="1:6" x14ac:dyDescent="0.25">
      <c r="A20" s="19" t="s">
        <v>165</v>
      </c>
      <c r="B20" s="16" t="s">
        <v>387</v>
      </c>
      <c r="C20" s="16" t="s">
        <v>184</v>
      </c>
      <c r="D20" s="30"/>
      <c r="E20" s="59"/>
      <c r="F20" s="29">
        <v>197.55964800000001</v>
      </c>
    </row>
    <row r="21" spans="1:6" x14ac:dyDescent="0.25">
      <c r="A21" s="19" t="s">
        <v>165</v>
      </c>
      <c r="B21" s="16" t="s">
        <v>495</v>
      </c>
      <c r="C21" s="16" t="s">
        <v>185</v>
      </c>
      <c r="D21" s="30"/>
      <c r="E21" s="59"/>
      <c r="F21" s="29">
        <v>76.195548000000002</v>
      </c>
    </row>
    <row r="22" spans="1:6" x14ac:dyDescent="0.25">
      <c r="A22" s="19" t="s">
        <v>165</v>
      </c>
      <c r="B22" s="16" t="s">
        <v>496</v>
      </c>
      <c r="C22" s="16" t="s">
        <v>186</v>
      </c>
      <c r="D22" s="30"/>
      <c r="E22" s="59"/>
      <c r="F22" s="29">
        <v>24.613776000000001</v>
      </c>
    </row>
    <row r="23" spans="1:6" x14ac:dyDescent="0.25">
      <c r="A23" s="19" t="s">
        <v>165</v>
      </c>
      <c r="B23" s="16" t="s">
        <v>497</v>
      </c>
      <c r="C23" s="16" t="s">
        <v>187</v>
      </c>
      <c r="D23" s="30"/>
      <c r="E23" s="59"/>
      <c r="F23" s="29">
        <v>40.395167999999998</v>
      </c>
    </row>
    <row r="24" spans="1:6" x14ac:dyDescent="0.25">
      <c r="A24" s="19" t="s">
        <v>165</v>
      </c>
      <c r="B24" s="16" t="s">
        <v>498</v>
      </c>
      <c r="C24" s="16" t="s">
        <v>188</v>
      </c>
      <c r="D24" s="30"/>
      <c r="E24" s="59"/>
      <c r="F24" s="29">
        <v>16.089875999999997</v>
      </c>
    </row>
    <row r="25" spans="1:6" x14ac:dyDescent="0.25">
      <c r="A25" s="19" t="s">
        <v>165</v>
      </c>
      <c r="B25" s="16" t="s">
        <v>388</v>
      </c>
      <c r="C25" s="16" t="s">
        <v>189</v>
      </c>
      <c r="D25" s="30"/>
      <c r="E25" s="59"/>
      <c r="F25" s="29">
        <v>179.45650799999999</v>
      </c>
    </row>
    <row r="26" spans="1:6" x14ac:dyDescent="0.25">
      <c r="A26" s="19" t="s">
        <v>165</v>
      </c>
      <c r="B26" s="16" t="s">
        <v>389</v>
      </c>
      <c r="C26" s="16" t="s">
        <v>190</v>
      </c>
      <c r="D26" s="30"/>
      <c r="E26" s="59"/>
      <c r="F26" s="29">
        <v>346.07033999999999</v>
      </c>
    </row>
    <row r="27" spans="1:6" x14ac:dyDescent="0.25">
      <c r="A27" s="19" t="s">
        <v>165</v>
      </c>
      <c r="B27" s="16" t="s">
        <v>390</v>
      </c>
      <c r="C27" s="16" t="s">
        <v>191</v>
      </c>
      <c r="D27" s="30"/>
      <c r="E27" s="59"/>
      <c r="F27" s="29">
        <v>212.26946400000003</v>
      </c>
    </row>
    <row r="28" spans="1:6" x14ac:dyDescent="0.25">
      <c r="A28" s="19" t="s">
        <v>165</v>
      </c>
      <c r="B28" s="16" t="s">
        <v>391</v>
      </c>
      <c r="C28" s="16" t="s">
        <v>192</v>
      </c>
      <c r="D28" s="30"/>
      <c r="E28" s="59"/>
      <c r="F28" s="29">
        <v>316.13115599999998</v>
      </c>
    </row>
    <row r="29" spans="1:6" x14ac:dyDescent="0.25">
      <c r="A29" s="19" t="s">
        <v>165</v>
      </c>
      <c r="B29" s="20">
        <v>361</v>
      </c>
      <c r="C29" s="16" t="s">
        <v>193</v>
      </c>
      <c r="D29" s="30"/>
      <c r="E29" s="59"/>
      <c r="F29" s="29">
        <v>123.92938799999999</v>
      </c>
    </row>
    <row r="30" spans="1:6" x14ac:dyDescent="0.25">
      <c r="A30" s="19" t="s">
        <v>165</v>
      </c>
      <c r="B30" s="16" t="s">
        <v>392</v>
      </c>
      <c r="C30" s="16" t="s">
        <v>194</v>
      </c>
      <c r="D30" s="30"/>
      <c r="E30" s="59"/>
      <c r="F30" s="29">
        <v>35.508131999999996</v>
      </c>
    </row>
    <row r="31" spans="1:6" x14ac:dyDescent="0.25">
      <c r="A31" s="19" t="s">
        <v>165</v>
      </c>
      <c r="B31" s="16" t="s">
        <v>393</v>
      </c>
      <c r="C31" s="16" t="s">
        <v>195</v>
      </c>
      <c r="D31" s="30"/>
      <c r="E31" s="59"/>
      <c r="F31" s="29">
        <v>36.628415999999994</v>
      </c>
    </row>
    <row r="32" spans="1:6" x14ac:dyDescent="0.25">
      <c r="A32" s="19" t="s">
        <v>165</v>
      </c>
      <c r="B32" s="16" t="s">
        <v>394</v>
      </c>
      <c r="C32" s="16" t="s">
        <v>196</v>
      </c>
      <c r="D32" s="30"/>
      <c r="E32" s="59"/>
      <c r="F32" s="29">
        <v>11.560032</v>
      </c>
    </row>
    <row r="33" spans="1:6" x14ac:dyDescent="0.25">
      <c r="A33" s="19" t="s">
        <v>165</v>
      </c>
      <c r="B33" s="16" t="s">
        <v>395</v>
      </c>
      <c r="C33" s="16" t="s">
        <v>197</v>
      </c>
      <c r="D33" s="30"/>
      <c r="E33" s="59"/>
      <c r="F33" s="29">
        <v>12.566664000000001</v>
      </c>
    </row>
    <row r="34" spans="1:6" x14ac:dyDescent="0.25">
      <c r="A34" s="19" t="s">
        <v>165</v>
      </c>
      <c r="B34" s="16" t="s">
        <v>396</v>
      </c>
      <c r="C34" s="16" t="s">
        <v>198</v>
      </c>
      <c r="D34" s="30"/>
      <c r="E34" s="59"/>
      <c r="F34" s="29">
        <v>20.635956</v>
      </c>
    </row>
    <row r="35" spans="1:6" x14ac:dyDescent="0.25">
      <c r="A35" s="19" t="s">
        <v>165</v>
      </c>
      <c r="B35" s="16" t="s">
        <v>397</v>
      </c>
      <c r="C35" s="16" t="s">
        <v>199</v>
      </c>
      <c r="D35" s="30"/>
      <c r="E35" s="59"/>
      <c r="F35" s="29">
        <v>8.702496</v>
      </c>
    </row>
    <row r="36" spans="1:6" x14ac:dyDescent="0.25">
      <c r="A36" s="19" t="s">
        <v>165</v>
      </c>
      <c r="B36" s="16" t="s">
        <v>398</v>
      </c>
      <c r="C36" s="16" t="s">
        <v>200</v>
      </c>
      <c r="D36" s="30"/>
      <c r="E36" s="59"/>
      <c r="F36" s="29">
        <v>8.1991800000000001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D914-DD49-5C4F-8059-0527881542CD}">
  <sheetPr codeName="Sheet6"/>
  <dimension ref="A1:G28"/>
  <sheetViews>
    <sheetView topLeftCell="A9" zoomScale="120" zoomScaleNormal="120" workbookViewId="0">
      <selection activeCell="F25" sqref="F25"/>
    </sheetView>
  </sheetViews>
  <sheetFormatPr defaultColWidth="10.6015625" defaultRowHeight="16.5" x14ac:dyDescent="0.25"/>
  <cols>
    <col min="1" max="1" width="14.671875" bestFit="1" customWidth="1"/>
    <col min="2" max="2" width="15.04296875" bestFit="1" customWidth="1"/>
    <col min="3" max="3" width="56.3515625" style="21" bestFit="1" customWidth="1"/>
    <col min="4" max="4" width="18.37109375" style="21" customWidth="1"/>
    <col min="5" max="5" width="17.6328125" style="62" customWidth="1"/>
    <col min="6" max="6" width="15.78125" style="56" customWidth="1"/>
  </cols>
  <sheetData>
    <row r="1" spans="1:7" x14ac:dyDescent="0.25">
      <c r="A1" s="19" t="s">
        <v>399</v>
      </c>
      <c r="B1" s="16" t="s">
        <v>400</v>
      </c>
      <c r="C1" s="16" t="s">
        <v>151</v>
      </c>
      <c r="D1" s="16"/>
      <c r="E1" s="63"/>
      <c r="F1" s="29">
        <v>13.086216</v>
      </c>
      <c r="G1" s="25"/>
    </row>
    <row r="2" spans="1:7" x14ac:dyDescent="0.25">
      <c r="A2" s="19" t="s">
        <v>399</v>
      </c>
      <c r="B2" s="16" t="s">
        <v>401</v>
      </c>
      <c r="C2" s="16" t="s">
        <v>152</v>
      </c>
      <c r="D2" s="16"/>
      <c r="E2" s="63"/>
      <c r="F2" s="29">
        <v>13.508352</v>
      </c>
    </row>
    <row r="3" spans="1:7" x14ac:dyDescent="0.25">
      <c r="A3" s="19" t="s">
        <v>399</v>
      </c>
      <c r="B3" s="16" t="s">
        <v>402</v>
      </c>
      <c r="C3" s="16" t="s">
        <v>153</v>
      </c>
      <c r="D3" s="16"/>
      <c r="E3" s="63"/>
      <c r="F3" s="29">
        <v>14.238971999999999</v>
      </c>
    </row>
    <row r="4" spans="1:7" x14ac:dyDescent="0.25">
      <c r="A4" s="19" t="s">
        <v>399</v>
      </c>
      <c r="B4" s="16" t="s">
        <v>403</v>
      </c>
      <c r="C4" s="16" t="s">
        <v>154</v>
      </c>
      <c r="D4" s="16"/>
      <c r="E4" s="63"/>
      <c r="F4" s="29">
        <v>9.627948</v>
      </c>
    </row>
    <row r="5" spans="1:7" x14ac:dyDescent="0.25">
      <c r="A5" s="19" t="s">
        <v>399</v>
      </c>
      <c r="B5" s="16" t="s">
        <v>404</v>
      </c>
      <c r="C5" s="16" t="s">
        <v>155</v>
      </c>
      <c r="D5" s="16"/>
      <c r="E5" s="63"/>
      <c r="F5" s="29">
        <v>9.1246320000000001</v>
      </c>
    </row>
    <row r="6" spans="1:7" x14ac:dyDescent="0.25">
      <c r="A6" s="19" t="s">
        <v>399</v>
      </c>
      <c r="B6" s="16" t="s">
        <v>405</v>
      </c>
      <c r="C6" s="16" t="s">
        <v>156</v>
      </c>
      <c r="D6" s="16"/>
      <c r="E6" s="63"/>
      <c r="F6" s="29">
        <v>8.7512039999999978</v>
      </c>
    </row>
    <row r="7" spans="1:7" x14ac:dyDescent="0.25">
      <c r="A7" s="19" t="s">
        <v>399</v>
      </c>
      <c r="B7" s="16" t="s">
        <v>406</v>
      </c>
      <c r="C7" s="16" t="s">
        <v>157</v>
      </c>
      <c r="D7" s="16"/>
      <c r="E7" s="63"/>
      <c r="F7" s="29">
        <v>8.4102479999999993</v>
      </c>
    </row>
    <row r="8" spans="1:7" x14ac:dyDescent="0.25">
      <c r="A8" s="19" t="s">
        <v>399</v>
      </c>
      <c r="B8" s="16" t="s">
        <v>407</v>
      </c>
      <c r="C8" s="16" t="s">
        <v>158</v>
      </c>
      <c r="D8" s="16"/>
      <c r="E8" s="63"/>
      <c r="F8" s="29">
        <v>8.8810919999999989</v>
      </c>
    </row>
    <row r="9" spans="1:7" x14ac:dyDescent="0.25">
      <c r="A9" s="19" t="s">
        <v>399</v>
      </c>
      <c r="B9" s="16" t="s">
        <v>408</v>
      </c>
      <c r="C9" s="16" t="s">
        <v>159</v>
      </c>
      <c r="D9" s="16"/>
      <c r="E9" s="63"/>
      <c r="F9" s="29">
        <v>8.1017640000000011</v>
      </c>
    </row>
    <row r="10" spans="1:7" x14ac:dyDescent="0.25">
      <c r="A10" s="19" t="s">
        <v>399</v>
      </c>
      <c r="B10" s="16" t="s">
        <v>409</v>
      </c>
      <c r="C10" s="16" t="s">
        <v>160</v>
      </c>
      <c r="D10" s="16"/>
      <c r="E10" s="63"/>
      <c r="F10" s="29">
        <v>10.47222</v>
      </c>
    </row>
    <row r="11" spans="1:7" x14ac:dyDescent="0.25">
      <c r="A11" s="19" t="s">
        <v>399</v>
      </c>
      <c r="B11" s="16" t="s">
        <v>410</v>
      </c>
      <c r="C11" s="16" t="s">
        <v>161</v>
      </c>
      <c r="D11" s="16"/>
      <c r="E11" s="63"/>
      <c r="F11" s="29">
        <v>15.456671999999998</v>
      </c>
    </row>
    <row r="12" spans="1:7" x14ac:dyDescent="0.25">
      <c r="A12" s="19" t="s">
        <v>399</v>
      </c>
      <c r="B12" s="16" t="s">
        <v>411</v>
      </c>
      <c r="C12" s="16" t="s">
        <v>162</v>
      </c>
      <c r="D12" s="16"/>
      <c r="E12" s="63"/>
      <c r="F12" s="29">
        <v>9.3844080000000005</v>
      </c>
    </row>
    <row r="13" spans="1:7" x14ac:dyDescent="0.25">
      <c r="A13" s="19" t="s">
        <v>399</v>
      </c>
      <c r="B13" s="16" t="s">
        <v>412</v>
      </c>
      <c r="C13" s="16" t="s">
        <v>163</v>
      </c>
      <c r="D13" s="16"/>
      <c r="E13" s="63"/>
      <c r="F13" s="29">
        <v>8.053055999999998</v>
      </c>
    </row>
    <row r="14" spans="1:7" x14ac:dyDescent="0.25">
      <c r="A14" s="19" t="s">
        <v>399</v>
      </c>
      <c r="B14" s="20">
        <v>9191</v>
      </c>
      <c r="C14" s="16" t="s">
        <v>164</v>
      </c>
      <c r="D14" s="16"/>
      <c r="E14" s="63"/>
      <c r="F14" s="29">
        <v>4.6272599999999997</v>
      </c>
    </row>
    <row r="15" spans="1:7" x14ac:dyDescent="0.25">
      <c r="A15" s="19"/>
      <c r="B15" s="20"/>
      <c r="C15" s="16"/>
      <c r="D15" s="16"/>
      <c r="E15" s="63"/>
      <c r="F15" s="29"/>
    </row>
    <row r="16" spans="1:7" x14ac:dyDescent="0.25">
      <c r="A16" s="19" t="s">
        <v>413</v>
      </c>
      <c r="B16" s="20">
        <v>47247040</v>
      </c>
      <c r="C16" s="16" t="s">
        <v>140</v>
      </c>
      <c r="D16" s="16"/>
      <c r="E16" s="63"/>
      <c r="F16" s="29">
        <v>5.01</v>
      </c>
    </row>
    <row r="17" spans="1:6" x14ac:dyDescent="0.25">
      <c r="A17" s="19" t="s">
        <v>413</v>
      </c>
      <c r="B17" s="19" t="s">
        <v>421</v>
      </c>
      <c r="C17" s="16" t="s">
        <v>141</v>
      </c>
      <c r="D17" s="16"/>
      <c r="E17" s="63"/>
      <c r="F17" s="29">
        <v>1.5</v>
      </c>
    </row>
    <row r="18" spans="1:6" x14ac:dyDescent="0.25">
      <c r="A18" s="19" t="s">
        <v>413</v>
      </c>
      <c r="B18" s="20" t="s">
        <v>414</v>
      </c>
      <c r="C18" s="16" t="s">
        <v>142</v>
      </c>
      <c r="D18" s="16"/>
      <c r="E18" s="63"/>
      <c r="F18" s="29">
        <v>6.75</v>
      </c>
    </row>
    <row r="19" spans="1:6" x14ac:dyDescent="0.25">
      <c r="A19" s="19" t="s">
        <v>413</v>
      </c>
      <c r="B19" s="20">
        <v>8368</v>
      </c>
      <c r="C19" s="16" t="s">
        <v>143</v>
      </c>
      <c r="D19" s="16"/>
      <c r="E19" s="63"/>
      <c r="F19" s="29">
        <v>17.27</v>
      </c>
    </row>
    <row r="20" spans="1:6" x14ac:dyDescent="0.25">
      <c r="A20" s="19" t="s">
        <v>413</v>
      </c>
      <c r="B20" s="20">
        <v>47248000</v>
      </c>
      <c r="C20" s="16" t="s">
        <v>144</v>
      </c>
      <c r="D20" s="16"/>
      <c r="E20" s="63"/>
      <c r="F20" s="29">
        <v>2.5</v>
      </c>
    </row>
    <row r="21" spans="1:6" x14ac:dyDescent="0.25">
      <c r="A21" s="19" t="s">
        <v>413</v>
      </c>
      <c r="B21" s="20" t="s">
        <v>415</v>
      </c>
      <c r="C21" s="16" t="s">
        <v>145</v>
      </c>
      <c r="D21" s="16"/>
      <c r="E21" s="63"/>
      <c r="F21" s="29">
        <v>2.75</v>
      </c>
    </row>
    <row r="22" spans="1:6" x14ac:dyDescent="0.25">
      <c r="A22" s="19" t="s">
        <v>413</v>
      </c>
      <c r="B22" s="20">
        <v>20015498</v>
      </c>
      <c r="C22" s="16" t="s">
        <v>146</v>
      </c>
      <c r="D22" s="16"/>
      <c r="E22" s="63"/>
      <c r="F22" s="29">
        <v>1.1000000000000001</v>
      </c>
    </row>
    <row r="23" spans="1:6" x14ac:dyDescent="0.25">
      <c r="A23" s="19" t="s">
        <v>413</v>
      </c>
      <c r="B23" s="20">
        <v>47245940</v>
      </c>
      <c r="C23" s="16" t="s">
        <v>147</v>
      </c>
      <c r="D23" s="16"/>
      <c r="E23" s="63"/>
      <c r="F23" s="29">
        <v>1.1000000000000001</v>
      </c>
    </row>
    <row r="24" spans="1:6" x14ac:dyDescent="0.25">
      <c r="A24" s="19" t="s">
        <v>413</v>
      </c>
      <c r="B24" s="20" t="s">
        <v>416</v>
      </c>
      <c r="C24" s="16" t="s">
        <v>148</v>
      </c>
      <c r="D24" s="16"/>
      <c r="E24" s="63"/>
      <c r="F24" s="29">
        <v>15.1</v>
      </c>
    </row>
    <row r="25" spans="1:6" x14ac:dyDescent="0.25">
      <c r="A25" s="19" t="s">
        <v>413</v>
      </c>
      <c r="B25" s="20">
        <v>72431</v>
      </c>
      <c r="C25" s="16" t="s">
        <v>149</v>
      </c>
      <c r="D25" s="16"/>
      <c r="E25" s="63"/>
      <c r="F25" s="29">
        <v>7.84</v>
      </c>
    </row>
    <row r="26" spans="1:6" x14ac:dyDescent="0.25">
      <c r="A26" s="19" t="s">
        <v>413</v>
      </c>
      <c r="B26" s="20" t="s">
        <v>417</v>
      </c>
      <c r="C26" s="16" t="s">
        <v>418</v>
      </c>
      <c r="D26" s="16"/>
      <c r="E26" s="63"/>
      <c r="F26" s="29">
        <v>1.1000000000000001</v>
      </c>
    </row>
    <row r="27" spans="1:6" x14ac:dyDescent="0.25">
      <c r="A27" s="19" t="s">
        <v>413</v>
      </c>
      <c r="B27" s="20">
        <v>31628</v>
      </c>
      <c r="C27" s="16" t="s">
        <v>150</v>
      </c>
      <c r="D27" s="16"/>
      <c r="E27" s="63"/>
      <c r="F27" s="29">
        <v>66.600072000000011</v>
      </c>
    </row>
    <row r="28" spans="1:6" x14ac:dyDescent="0.25">
      <c r="A28" s="19" t="s">
        <v>413</v>
      </c>
      <c r="B28" s="16" t="s">
        <v>419</v>
      </c>
      <c r="C28" s="16" t="s">
        <v>420</v>
      </c>
      <c r="D28" s="16"/>
      <c r="E28" s="63"/>
      <c r="F28" s="29">
        <v>13.183631999999996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BF82E-DA09-894A-A070-2127267B5E79}">
  <sheetPr codeName="Sheet7"/>
  <dimension ref="A1:F10"/>
  <sheetViews>
    <sheetView zoomScale="110" zoomScaleNormal="110" workbookViewId="0">
      <selection activeCell="C10" sqref="C10"/>
    </sheetView>
  </sheetViews>
  <sheetFormatPr defaultColWidth="10.6015625" defaultRowHeight="16.5" x14ac:dyDescent="0.25"/>
  <cols>
    <col min="1" max="1" width="10.97265625" bestFit="1" customWidth="1"/>
    <col min="2" max="2" width="13.4375" bestFit="1" customWidth="1"/>
    <col min="3" max="3" width="60.66796875" bestFit="1" customWidth="1"/>
    <col min="4" max="4" width="20.83984375" customWidth="1"/>
    <col min="5" max="5" width="17.38671875" style="61" customWidth="1"/>
    <col min="6" max="6" width="10.8515625" style="1" bestFit="1" customWidth="1"/>
  </cols>
  <sheetData>
    <row r="1" spans="1:6" x14ac:dyDescent="0.25">
      <c r="A1" s="19" t="s">
        <v>422</v>
      </c>
      <c r="B1" s="20">
        <v>78310700</v>
      </c>
      <c r="C1" s="16" t="s">
        <v>286</v>
      </c>
      <c r="D1" s="30"/>
      <c r="E1" s="59"/>
      <c r="F1" s="29">
        <v>41.385564000000002</v>
      </c>
    </row>
    <row r="2" spans="1:6" x14ac:dyDescent="0.25">
      <c r="A2" s="19" t="s">
        <v>422</v>
      </c>
      <c r="B2" s="20">
        <v>4600500103</v>
      </c>
      <c r="C2" s="16" t="s">
        <v>294</v>
      </c>
      <c r="D2" s="30"/>
      <c r="E2" s="59"/>
      <c r="F2" s="29">
        <v>3.0198960000000001</v>
      </c>
    </row>
    <row r="3" spans="1:6" x14ac:dyDescent="0.25">
      <c r="A3" s="19" t="s">
        <v>422</v>
      </c>
      <c r="B3" s="20">
        <v>4600750103</v>
      </c>
      <c r="C3" s="16" t="s">
        <v>295</v>
      </c>
      <c r="D3" s="30"/>
      <c r="E3" s="59"/>
      <c r="F3" s="29">
        <v>3.2309640000000002</v>
      </c>
    </row>
    <row r="4" spans="1:6" x14ac:dyDescent="0.25">
      <c r="A4" s="19" t="s">
        <v>422</v>
      </c>
      <c r="B4" s="20">
        <v>4601000103</v>
      </c>
      <c r="C4" s="16" t="s">
        <v>287</v>
      </c>
      <c r="D4" s="30"/>
      <c r="E4" s="59"/>
      <c r="F4" s="29">
        <v>4.7896200000000002</v>
      </c>
    </row>
    <row r="5" spans="1:6" x14ac:dyDescent="0.25">
      <c r="A5" s="19" t="s">
        <v>422</v>
      </c>
      <c r="B5" s="16" t="s">
        <v>423</v>
      </c>
      <c r="C5" s="16" t="s">
        <v>288</v>
      </c>
      <c r="D5" s="30"/>
      <c r="E5" s="59"/>
      <c r="F5" s="29">
        <v>8.8648559999999996</v>
      </c>
    </row>
    <row r="6" spans="1:6" x14ac:dyDescent="0.25">
      <c r="A6" s="19" t="s">
        <v>422</v>
      </c>
      <c r="B6" s="16" t="s">
        <v>424</v>
      </c>
      <c r="C6" s="16" t="s">
        <v>289</v>
      </c>
      <c r="D6" s="30"/>
      <c r="E6" s="59"/>
      <c r="F6" s="29">
        <v>10.066319999999999</v>
      </c>
    </row>
    <row r="7" spans="1:6" x14ac:dyDescent="0.25">
      <c r="A7" s="19" t="s">
        <v>422</v>
      </c>
      <c r="B7" s="16" t="s">
        <v>425</v>
      </c>
      <c r="C7" s="16" t="s">
        <v>290</v>
      </c>
      <c r="D7" s="30"/>
      <c r="E7" s="59"/>
      <c r="F7" s="29">
        <v>24.532595999999998</v>
      </c>
    </row>
    <row r="8" spans="1:6" x14ac:dyDescent="0.25">
      <c r="A8" s="19" t="s">
        <v>422</v>
      </c>
      <c r="B8" s="20">
        <v>10632802</v>
      </c>
      <c r="C8" s="16" t="s">
        <v>291</v>
      </c>
      <c r="D8" s="30"/>
      <c r="E8" s="59"/>
      <c r="F8" s="29">
        <v>430.25400000000002</v>
      </c>
    </row>
    <row r="9" spans="1:6" x14ac:dyDescent="0.25">
      <c r="A9" s="16" t="s">
        <v>422</v>
      </c>
      <c r="B9" s="16" t="s">
        <v>426</v>
      </c>
      <c r="C9" s="16" t="s">
        <v>292</v>
      </c>
      <c r="D9" s="30"/>
      <c r="E9" s="59"/>
      <c r="F9" s="29">
        <v>166.435236</v>
      </c>
    </row>
    <row r="10" spans="1:6" x14ac:dyDescent="0.25">
      <c r="A10" s="16" t="s">
        <v>422</v>
      </c>
      <c r="B10" s="16" t="s">
        <v>427</v>
      </c>
      <c r="C10" s="16" t="s">
        <v>293</v>
      </c>
      <c r="D10" s="30"/>
      <c r="E10" s="59"/>
      <c r="F10" s="29">
        <v>175.77093600000001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7BD3D-D896-0147-93A2-CD2711E0C778}">
  <sheetPr codeName="Sheet8"/>
  <dimension ref="A1:K99"/>
  <sheetViews>
    <sheetView topLeftCell="A10" zoomScale="120" zoomScaleNormal="120" workbookViewId="0">
      <selection activeCell="C17" sqref="C17"/>
    </sheetView>
  </sheetViews>
  <sheetFormatPr defaultColWidth="10.6015625" defaultRowHeight="16.5" x14ac:dyDescent="0.25"/>
  <cols>
    <col min="2" max="2" width="16.64453125" bestFit="1" customWidth="1"/>
    <col min="3" max="3" width="47.96875" style="21" bestFit="1" customWidth="1"/>
    <col min="4" max="4" width="17.5078125" style="21" customWidth="1"/>
    <col min="5" max="5" width="17.015625" style="62" customWidth="1"/>
    <col min="6" max="6" width="19.359375" style="56" customWidth="1"/>
  </cols>
  <sheetData>
    <row r="1" spans="1:6" x14ac:dyDescent="0.25">
      <c r="A1" s="19" t="s">
        <v>57</v>
      </c>
      <c r="B1" s="20">
        <v>13342</v>
      </c>
      <c r="C1" s="16" t="s">
        <v>137</v>
      </c>
      <c r="D1" s="30"/>
      <c r="E1" s="59"/>
      <c r="F1" s="29">
        <v>41.482979999999998</v>
      </c>
    </row>
    <row r="2" spans="1:6" x14ac:dyDescent="0.25">
      <c r="A2" s="19" t="s">
        <v>57</v>
      </c>
      <c r="B2" s="20">
        <v>13555</v>
      </c>
      <c r="C2" s="16" t="s">
        <v>133</v>
      </c>
      <c r="D2" s="30"/>
      <c r="E2" s="59"/>
      <c r="F2" s="29">
        <v>42.651972000000001</v>
      </c>
    </row>
    <row r="3" spans="1:6" x14ac:dyDescent="0.25">
      <c r="A3" s="19" t="s">
        <v>57</v>
      </c>
      <c r="B3" s="20">
        <v>13575</v>
      </c>
      <c r="C3" s="16" t="s">
        <v>138</v>
      </c>
      <c r="D3" s="30"/>
      <c r="E3" s="59"/>
      <c r="F3" s="29">
        <v>32.764247999999995</v>
      </c>
    </row>
    <row r="4" spans="1:6" x14ac:dyDescent="0.25">
      <c r="A4" s="19" t="s">
        <v>57</v>
      </c>
      <c r="B4" s="20">
        <v>13571</v>
      </c>
      <c r="C4" s="16" t="s">
        <v>139</v>
      </c>
      <c r="D4" s="30"/>
      <c r="E4" s="59"/>
      <c r="F4" s="29">
        <v>28.981259999999999</v>
      </c>
    </row>
    <row r="5" spans="1:6" x14ac:dyDescent="0.25">
      <c r="A5" s="19" t="s">
        <v>57</v>
      </c>
      <c r="B5" s="20" t="s">
        <v>428</v>
      </c>
      <c r="C5" s="16" t="s">
        <v>58</v>
      </c>
      <c r="D5" s="30"/>
      <c r="E5" s="59"/>
      <c r="F5" s="29">
        <v>9.2707560000000004</v>
      </c>
    </row>
    <row r="6" spans="1:6" x14ac:dyDescent="0.25">
      <c r="A6" s="19" t="s">
        <v>57</v>
      </c>
      <c r="B6" s="20" t="s">
        <v>429</v>
      </c>
      <c r="C6" s="16" t="s">
        <v>59</v>
      </c>
      <c r="D6" s="30"/>
      <c r="E6" s="59"/>
      <c r="F6" s="29">
        <v>28.770191999999994</v>
      </c>
    </row>
    <row r="7" spans="1:6" x14ac:dyDescent="0.25">
      <c r="A7" s="19" t="s">
        <v>57</v>
      </c>
      <c r="B7" s="20" t="s">
        <v>430</v>
      </c>
      <c r="C7" s="16" t="s">
        <v>76</v>
      </c>
      <c r="D7" s="30"/>
      <c r="E7" s="59"/>
      <c r="F7" s="29">
        <v>27.584963999999996</v>
      </c>
    </row>
    <row r="8" spans="1:6" x14ac:dyDescent="0.25">
      <c r="A8" s="19" t="s">
        <v>57</v>
      </c>
      <c r="B8" s="20" t="s">
        <v>431</v>
      </c>
      <c r="C8" s="16" t="s">
        <v>69</v>
      </c>
      <c r="D8" s="30"/>
      <c r="E8" s="59"/>
      <c r="F8" s="29">
        <v>30.832163999999995</v>
      </c>
    </row>
    <row r="9" spans="1:6" x14ac:dyDescent="0.25">
      <c r="A9" s="19" t="s">
        <v>57</v>
      </c>
      <c r="B9" s="20">
        <v>47645</v>
      </c>
      <c r="C9" s="16" t="s">
        <v>106</v>
      </c>
      <c r="D9" s="30"/>
      <c r="E9" s="59"/>
      <c r="F9" s="29">
        <v>37.018079999999998</v>
      </c>
    </row>
    <row r="10" spans="1:6" x14ac:dyDescent="0.25">
      <c r="A10" s="19" t="s">
        <v>57</v>
      </c>
      <c r="B10" s="20" t="s">
        <v>432</v>
      </c>
      <c r="C10" s="16" t="s">
        <v>87</v>
      </c>
      <c r="D10" s="30"/>
      <c r="E10" s="59"/>
      <c r="F10" s="29">
        <v>66.405239999999992</v>
      </c>
    </row>
    <row r="11" spans="1:6" x14ac:dyDescent="0.25">
      <c r="A11" s="19" t="s">
        <v>57</v>
      </c>
      <c r="B11" s="20" t="s">
        <v>433</v>
      </c>
      <c r="C11" s="16" t="s">
        <v>117</v>
      </c>
      <c r="D11" s="30"/>
      <c r="E11" s="59"/>
      <c r="F11" s="29">
        <v>424.31162399999999</v>
      </c>
    </row>
    <row r="12" spans="1:6" x14ac:dyDescent="0.25">
      <c r="A12" s="19" t="s">
        <v>57</v>
      </c>
      <c r="B12" s="20" t="s">
        <v>434</v>
      </c>
      <c r="C12" s="16" t="s">
        <v>124</v>
      </c>
      <c r="D12" s="30"/>
      <c r="E12" s="59"/>
      <c r="F12" s="29">
        <v>136.366164</v>
      </c>
    </row>
    <row r="13" spans="1:6" x14ac:dyDescent="0.25">
      <c r="A13" s="19" t="s">
        <v>57</v>
      </c>
      <c r="B13" s="20" t="s">
        <v>435</v>
      </c>
      <c r="C13" s="16" t="s">
        <v>132</v>
      </c>
      <c r="D13" s="30"/>
      <c r="E13" s="59"/>
      <c r="F13" s="29">
        <v>324.70376399999998</v>
      </c>
    </row>
    <row r="14" spans="1:6" x14ac:dyDescent="0.25">
      <c r="A14" s="19" t="s">
        <v>57</v>
      </c>
      <c r="B14" s="20" t="s">
        <v>436</v>
      </c>
      <c r="C14" s="16" t="s">
        <v>136</v>
      </c>
      <c r="D14" s="30"/>
      <c r="E14" s="59"/>
      <c r="F14" s="29">
        <v>251.20339199999995</v>
      </c>
    </row>
    <row r="15" spans="1:6" x14ac:dyDescent="0.25">
      <c r="A15" s="19" t="s">
        <v>57</v>
      </c>
      <c r="B15" s="20" t="s">
        <v>437</v>
      </c>
      <c r="C15" s="16" t="s">
        <v>77</v>
      </c>
      <c r="D15" s="30"/>
      <c r="E15" s="59"/>
      <c r="F15" s="29">
        <v>368.08635599999997</v>
      </c>
    </row>
    <row r="16" spans="1:6" x14ac:dyDescent="0.25">
      <c r="A16" s="19" t="s">
        <v>57</v>
      </c>
      <c r="B16" s="20" t="s">
        <v>438</v>
      </c>
      <c r="C16" s="16" t="s">
        <v>83</v>
      </c>
      <c r="D16" s="30"/>
      <c r="E16" s="59"/>
      <c r="F16" s="29">
        <v>590.74686000000008</v>
      </c>
    </row>
    <row r="17" spans="1:11" x14ac:dyDescent="0.25">
      <c r="A17" s="19" t="s">
        <v>57</v>
      </c>
      <c r="B17" s="20" t="s">
        <v>439</v>
      </c>
      <c r="C17" s="16" t="s">
        <v>66</v>
      </c>
      <c r="D17" s="30"/>
      <c r="E17" s="59"/>
      <c r="F17" s="29">
        <v>54.325655999999995</v>
      </c>
    </row>
    <row r="18" spans="1:11" x14ac:dyDescent="0.25">
      <c r="A18" s="19" t="s">
        <v>57</v>
      </c>
      <c r="B18" s="16" t="s">
        <v>440</v>
      </c>
      <c r="C18" s="16" t="s">
        <v>60</v>
      </c>
      <c r="D18" s="30"/>
      <c r="E18" s="59"/>
      <c r="F18" s="29">
        <v>17.372519999999998</v>
      </c>
    </row>
    <row r="19" spans="1:11" ht="17.25" x14ac:dyDescent="0.25">
      <c r="A19" s="19" t="s">
        <v>57</v>
      </c>
      <c r="B19" s="20" t="s">
        <v>441</v>
      </c>
      <c r="C19" s="16" t="s">
        <v>101</v>
      </c>
      <c r="D19" s="30"/>
      <c r="E19" s="59"/>
      <c r="F19" s="29">
        <v>60.511572000000001</v>
      </c>
      <c r="H19" s="67"/>
      <c r="I19" s="67"/>
      <c r="J19" s="68"/>
      <c r="K19" s="69"/>
    </row>
    <row r="20" spans="1:11" ht="17.25" x14ac:dyDescent="0.25">
      <c r="A20" s="19" t="s">
        <v>57</v>
      </c>
      <c r="B20" s="70" t="s">
        <v>1132</v>
      </c>
      <c r="C20" s="70" t="s">
        <v>1133</v>
      </c>
      <c r="D20" s="52"/>
      <c r="E20" s="71"/>
      <c r="F20" s="72">
        <v>364.43</v>
      </c>
      <c r="H20" s="67"/>
      <c r="I20" s="67"/>
      <c r="J20" s="68"/>
      <c r="K20" s="69"/>
    </row>
    <row r="21" spans="1:11" x14ac:dyDescent="0.25">
      <c r="A21" s="19" t="s">
        <v>57</v>
      </c>
      <c r="B21" s="20">
        <v>4716</v>
      </c>
      <c r="C21" s="16" t="s">
        <v>108</v>
      </c>
      <c r="D21" s="30"/>
      <c r="E21" s="59"/>
      <c r="F21" s="29">
        <v>118.06819199999998</v>
      </c>
    </row>
    <row r="22" spans="1:11" x14ac:dyDescent="0.25">
      <c r="A22" s="19" t="s">
        <v>57</v>
      </c>
      <c r="B22" s="20">
        <v>4717</v>
      </c>
      <c r="C22" s="16" t="s">
        <v>109</v>
      </c>
      <c r="D22" s="30"/>
      <c r="E22" s="59"/>
      <c r="F22" s="29">
        <v>125.81276399999999</v>
      </c>
    </row>
    <row r="23" spans="1:11" x14ac:dyDescent="0.25">
      <c r="A23" s="19" t="s">
        <v>57</v>
      </c>
      <c r="B23" s="20">
        <v>263042</v>
      </c>
      <c r="C23" s="16" t="s">
        <v>100</v>
      </c>
      <c r="D23" s="30"/>
      <c r="E23" s="59"/>
      <c r="F23" s="29">
        <v>39.583367999999993</v>
      </c>
    </row>
    <row r="24" spans="1:11" x14ac:dyDescent="0.25">
      <c r="A24" s="19" t="s">
        <v>57</v>
      </c>
      <c r="B24" s="20">
        <v>263060</v>
      </c>
      <c r="C24" s="16" t="s">
        <v>86</v>
      </c>
      <c r="D24" s="30"/>
      <c r="E24" s="59"/>
      <c r="F24" s="29">
        <v>139.07757599999997</v>
      </c>
    </row>
    <row r="25" spans="1:11" x14ac:dyDescent="0.25">
      <c r="A25" s="19" t="s">
        <v>57</v>
      </c>
      <c r="B25" s="16" t="s">
        <v>442</v>
      </c>
      <c r="C25" s="16" t="s">
        <v>73</v>
      </c>
      <c r="D25" s="30"/>
      <c r="E25" s="59"/>
      <c r="F25" s="29">
        <v>0.89298000000000011</v>
      </c>
    </row>
    <row r="26" spans="1:11" x14ac:dyDescent="0.25">
      <c r="A26" s="19" t="s">
        <v>57</v>
      </c>
      <c r="B26" s="16" t="s">
        <v>443</v>
      </c>
      <c r="C26" s="16" t="s">
        <v>71</v>
      </c>
      <c r="D26" s="30"/>
      <c r="E26" s="59"/>
      <c r="F26" s="29">
        <v>1.1527559999999999</v>
      </c>
    </row>
    <row r="27" spans="1:11" x14ac:dyDescent="0.25">
      <c r="A27" s="19" t="s">
        <v>57</v>
      </c>
      <c r="B27" s="16" t="s">
        <v>444</v>
      </c>
      <c r="C27" s="16" t="s">
        <v>74</v>
      </c>
      <c r="D27" s="30"/>
      <c r="E27" s="59"/>
      <c r="F27" s="29">
        <v>1.3313519999999999</v>
      </c>
    </row>
    <row r="28" spans="1:11" x14ac:dyDescent="0.25">
      <c r="A28" s="19" t="s">
        <v>57</v>
      </c>
      <c r="B28" s="16" t="s">
        <v>445</v>
      </c>
      <c r="C28" s="16" t="s">
        <v>70</v>
      </c>
      <c r="D28" s="30"/>
      <c r="E28" s="59"/>
      <c r="F28" s="29">
        <v>1.5261839999999998</v>
      </c>
    </row>
    <row r="29" spans="1:11" x14ac:dyDescent="0.25">
      <c r="A29" s="19" t="s">
        <v>57</v>
      </c>
      <c r="B29" s="16" t="s">
        <v>446</v>
      </c>
      <c r="C29" s="16" t="s">
        <v>75</v>
      </c>
      <c r="D29" s="30"/>
      <c r="E29" s="59"/>
      <c r="F29" s="29">
        <v>1.1040480000000001</v>
      </c>
    </row>
    <row r="30" spans="1:11" x14ac:dyDescent="0.25">
      <c r="A30" s="19" t="s">
        <v>57</v>
      </c>
      <c r="B30" s="16" t="s">
        <v>447</v>
      </c>
      <c r="C30" s="16" t="s">
        <v>72</v>
      </c>
      <c r="D30" s="30"/>
      <c r="E30" s="59"/>
      <c r="F30" s="29">
        <v>0.94168799999999986</v>
      </c>
    </row>
    <row r="31" spans="1:11" x14ac:dyDescent="0.25">
      <c r="A31" s="19" t="s">
        <v>57</v>
      </c>
      <c r="B31" s="16" t="s">
        <v>448</v>
      </c>
      <c r="C31" s="16" t="s">
        <v>62</v>
      </c>
      <c r="D31" s="30"/>
      <c r="E31" s="59"/>
      <c r="F31" s="29">
        <v>1.1040480000000001</v>
      </c>
    </row>
    <row r="32" spans="1:11" x14ac:dyDescent="0.25">
      <c r="A32" s="19" t="s">
        <v>57</v>
      </c>
      <c r="B32" s="16" t="s">
        <v>449</v>
      </c>
      <c r="C32" s="16" t="s">
        <v>63</v>
      </c>
      <c r="D32" s="30"/>
      <c r="E32" s="59"/>
      <c r="F32" s="29">
        <v>2.8900079999999999</v>
      </c>
    </row>
    <row r="33" spans="1:6" x14ac:dyDescent="0.25">
      <c r="A33" s="19" t="s">
        <v>57</v>
      </c>
      <c r="B33" s="16" t="s">
        <v>450</v>
      </c>
      <c r="C33" s="16" t="s">
        <v>61</v>
      </c>
      <c r="D33" s="30"/>
      <c r="E33" s="59"/>
      <c r="F33" s="29">
        <v>3.0686039999999997</v>
      </c>
    </row>
    <row r="34" spans="1:6" x14ac:dyDescent="0.25">
      <c r="A34" s="19" t="s">
        <v>57</v>
      </c>
      <c r="B34" s="16" t="s">
        <v>451</v>
      </c>
      <c r="C34" s="16" t="s">
        <v>65</v>
      </c>
      <c r="D34" s="30"/>
      <c r="E34" s="59"/>
      <c r="F34" s="29">
        <v>1.688544</v>
      </c>
    </row>
    <row r="35" spans="1:6" x14ac:dyDescent="0.25">
      <c r="A35" s="19" t="s">
        <v>57</v>
      </c>
      <c r="B35" s="16" t="s">
        <v>452</v>
      </c>
      <c r="C35" s="16" t="s">
        <v>68</v>
      </c>
      <c r="D35" s="30"/>
      <c r="E35" s="59"/>
      <c r="F35" s="29">
        <v>1.5424199999999999</v>
      </c>
    </row>
    <row r="36" spans="1:6" x14ac:dyDescent="0.25">
      <c r="A36" s="19" t="s">
        <v>57</v>
      </c>
      <c r="B36" s="20">
        <v>435015</v>
      </c>
      <c r="C36" s="16" t="s">
        <v>64</v>
      </c>
      <c r="D36" s="30"/>
      <c r="E36" s="59"/>
      <c r="F36" s="29">
        <v>1.7372519999999998</v>
      </c>
    </row>
    <row r="37" spans="1:6" x14ac:dyDescent="0.25">
      <c r="A37" s="19" t="s">
        <v>57</v>
      </c>
      <c r="B37" s="20" t="s">
        <v>453</v>
      </c>
      <c r="C37" s="16" t="s">
        <v>616</v>
      </c>
      <c r="D37" s="30"/>
      <c r="E37" s="59"/>
      <c r="F37" s="29">
        <v>4.1726519999999994</v>
      </c>
    </row>
    <row r="38" spans="1:6" x14ac:dyDescent="0.25">
      <c r="A38" s="19" t="s">
        <v>57</v>
      </c>
      <c r="B38" s="20">
        <v>438209</v>
      </c>
      <c r="C38" s="16" t="s">
        <v>67</v>
      </c>
      <c r="D38" s="30"/>
      <c r="E38" s="59"/>
      <c r="F38" s="29">
        <v>3.3770880000000001</v>
      </c>
    </row>
    <row r="39" spans="1:6" x14ac:dyDescent="0.25">
      <c r="A39" s="19" t="s">
        <v>57</v>
      </c>
      <c r="B39" s="20" t="s">
        <v>454</v>
      </c>
      <c r="C39" s="16" t="s">
        <v>92</v>
      </c>
      <c r="D39" s="30"/>
      <c r="E39" s="59"/>
      <c r="F39" s="29">
        <v>2.743884</v>
      </c>
    </row>
    <row r="40" spans="1:6" x14ac:dyDescent="0.25">
      <c r="A40" s="19" t="s">
        <v>57</v>
      </c>
      <c r="B40" s="20" t="s">
        <v>455</v>
      </c>
      <c r="C40" s="16" t="s">
        <v>105</v>
      </c>
      <c r="D40" s="30"/>
      <c r="E40" s="59"/>
      <c r="F40" s="29">
        <v>2.7601199999999997</v>
      </c>
    </row>
    <row r="41" spans="1:6" x14ac:dyDescent="0.25">
      <c r="A41" s="19" t="s">
        <v>57</v>
      </c>
      <c r="B41" s="20" t="s">
        <v>456</v>
      </c>
      <c r="C41" s="16" t="s">
        <v>95</v>
      </c>
      <c r="D41" s="30"/>
      <c r="E41" s="59"/>
      <c r="F41" s="29">
        <v>1.6723080000000001</v>
      </c>
    </row>
    <row r="42" spans="1:6" x14ac:dyDescent="0.25">
      <c r="A42" s="19" t="s">
        <v>57</v>
      </c>
      <c r="B42" s="20" t="s">
        <v>457</v>
      </c>
      <c r="C42" s="16" t="s">
        <v>96</v>
      </c>
      <c r="D42" s="30"/>
      <c r="E42" s="59"/>
      <c r="F42" s="29">
        <v>3.4582679999999995</v>
      </c>
    </row>
    <row r="43" spans="1:6" x14ac:dyDescent="0.25">
      <c r="A43" s="19" t="s">
        <v>57</v>
      </c>
      <c r="B43" s="20" t="s">
        <v>458</v>
      </c>
      <c r="C43" s="16" t="s">
        <v>104</v>
      </c>
      <c r="D43" s="30"/>
      <c r="E43" s="59"/>
      <c r="F43" s="29">
        <v>2.0619719999999999</v>
      </c>
    </row>
    <row r="44" spans="1:6" x14ac:dyDescent="0.25">
      <c r="A44" s="19" t="s">
        <v>57</v>
      </c>
      <c r="B44" s="20" t="s">
        <v>459</v>
      </c>
      <c r="C44" s="16" t="s">
        <v>624</v>
      </c>
      <c r="D44" s="30"/>
      <c r="E44" s="59"/>
      <c r="F44" s="29">
        <v>4.1077079999999997</v>
      </c>
    </row>
    <row r="45" spans="1:6" x14ac:dyDescent="0.25">
      <c r="A45" s="19" t="s">
        <v>57</v>
      </c>
      <c r="B45" s="20" t="s">
        <v>460</v>
      </c>
      <c r="C45" s="16" t="s">
        <v>94</v>
      </c>
      <c r="D45" s="30"/>
      <c r="E45" s="59"/>
      <c r="F45" s="29">
        <v>1.7697240000000001</v>
      </c>
    </row>
    <row r="46" spans="1:6" x14ac:dyDescent="0.25">
      <c r="A46" s="19" t="s">
        <v>57</v>
      </c>
      <c r="B46" s="20">
        <v>435020</v>
      </c>
      <c r="C46" s="16" t="s">
        <v>97</v>
      </c>
      <c r="D46" s="30"/>
      <c r="E46" s="59"/>
      <c r="F46" s="29">
        <v>2.2405679999999997</v>
      </c>
    </row>
    <row r="47" spans="1:6" x14ac:dyDescent="0.25">
      <c r="A47" s="19" t="s">
        <v>57</v>
      </c>
      <c r="B47" s="20">
        <v>450020</v>
      </c>
      <c r="C47" s="16" t="s">
        <v>90</v>
      </c>
      <c r="D47" s="30"/>
      <c r="E47" s="59"/>
      <c r="F47" s="29">
        <v>5.3903519999999991</v>
      </c>
    </row>
    <row r="48" spans="1:6" x14ac:dyDescent="0.25">
      <c r="A48" s="19" t="s">
        <v>57</v>
      </c>
      <c r="B48" s="20">
        <v>439251</v>
      </c>
      <c r="C48" s="16" t="s">
        <v>103</v>
      </c>
      <c r="D48" s="30"/>
      <c r="E48" s="59"/>
      <c r="F48" s="29">
        <v>4.5298439999999998</v>
      </c>
    </row>
    <row r="49" spans="1:6" x14ac:dyDescent="0.25">
      <c r="A49" s="19" t="s">
        <v>57</v>
      </c>
      <c r="B49" s="20">
        <v>457020</v>
      </c>
      <c r="C49" s="16" t="s">
        <v>99</v>
      </c>
      <c r="D49" s="30"/>
      <c r="E49" s="59"/>
      <c r="F49" s="29">
        <v>30.880871999999997</v>
      </c>
    </row>
    <row r="50" spans="1:6" x14ac:dyDescent="0.25">
      <c r="A50" s="19" t="s">
        <v>57</v>
      </c>
      <c r="B50" s="20">
        <v>437247</v>
      </c>
      <c r="C50" s="16" t="s">
        <v>102</v>
      </c>
      <c r="D50" s="30"/>
      <c r="E50" s="59"/>
      <c r="F50" s="29">
        <v>2.7601199999999997</v>
      </c>
    </row>
    <row r="51" spans="1:6" x14ac:dyDescent="0.25">
      <c r="A51" s="19" t="s">
        <v>57</v>
      </c>
      <c r="B51" s="20" t="s">
        <v>461</v>
      </c>
      <c r="C51" s="16" t="s">
        <v>107</v>
      </c>
      <c r="D51" s="30"/>
      <c r="E51" s="59"/>
      <c r="F51" s="29">
        <v>2.7601199999999997</v>
      </c>
    </row>
    <row r="52" spans="1:6" x14ac:dyDescent="0.25">
      <c r="A52" s="19" t="s">
        <v>57</v>
      </c>
      <c r="B52" s="20">
        <v>448020</v>
      </c>
      <c r="C52" s="16" t="s">
        <v>88</v>
      </c>
      <c r="D52" s="30"/>
      <c r="E52" s="59"/>
      <c r="F52" s="29">
        <v>5.6663640000000006</v>
      </c>
    </row>
    <row r="53" spans="1:6" x14ac:dyDescent="0.25">
      <c r="A53" s="19" t="s">
        <v>57</v>
      </c>
      <c r="B53" s="16" t="s">
        <v>462</v>
      </c>
      <c r="C53" s="16" t="s">
        <v>98</v>
      </c>
      <c r="D53" s="30"/>
      <c r="E53" s="59"/>
      <c r="F53" s="29">
        <v>2.1918600000000001</v>
      </c>
    </row>
    <row r="54" spans="1:6" x14ac:dyDescent="0.25">
      <c r="A54" s="19" t="s">
        <v>57</v>
      </c>
      <c r="B54" s="20">
        <v>430020</v>
      </c>
      <c r="C54" s="16" t="s">
        <v>89</v>
      </c>
      <c r="D54" s="30"/>
      <c r="E54" s="59"/>
      <c r="F54" s="29">
        <v>16.365887999999998</v>
      </c>
    </row>
    <row r="55" spans="1:6" x14ac:dyDescent="0.25">
      <c r="A55" s="19" t="s">
        <v>57</v>
      </c>
      <c r="B55" s="20" t="s">
        <v>463</v>
      </c>
      <c r="C55" s="16" t="s">
        <v>91</v>
      </c>
      <c r="D55" s="30"/>
      <c r="E55" s="59"/>
      <c r="F55" s="29">
        <v>3.2796719999999997</v>
      </c>
    </row>
    <row r="56" spans="1:6" x14ac:dyDescent="0.25">
      <c r="A56" s="19" t="s">
        <v>57</v>
      </c>
      <c r="B56" s="20" t="s">
        <v>464</v>
      </c>
      <c r="C56" s="16" t="s">
        <v>93</v>
      </c>
      <c r="D56" s="30"/>
      <c r="E56" s="59"/>
      <c r="F56" s="29">
        <v>4.8383279999999997</v>
      </c>
    </row>
    <row r="57" spans="1:6" x14ac:dyDescent="0.25">
      <c r="A57" s="19" t="s">
        <v>57</v>
      </c>
      <c r="B57" s="20">
        <v>429025</v>
      </c>
      <c r="C57" s="16" t="s">
        <v>638</v>
      </c>
      <c r="D57" s="30"/>
      <c r="E57" s="59"/>
      <c r="F57" s="29">
        <v>4.5460799999999999</v>
      </c>
    </row>
    <row r="58" spans="1:6" x14ac:dyDescent="0.25">
      <c r="A58" s="19" t="s">
        <v>57</v>
      </c>
      <c r="B58" s="20">
        <v>406025</v>
      </c>
      <c r="C58" s="16" t="s">
        <v>640</v>
      </c>
      <c r="D58" s="30"/>
      <c r="E58" s="59"/>
      <c r="F58" s="29">
        <v>9.7903080000000013</v>
      </c>
    </row>
    <row r="59" spans="1:6" x14ac:dyDescent="0.25">
      <c r="A59" s="19" t="s">
        <v>57</v>
      </c>
      <c r="B59" s="20">
        <v>447025</v>
      </c>
      <c r="C59" s="16" t="s">
        <v>642</v>
      </c>
      <c r="D59" s="30"/>
      <c r="E59" s="59"/>
      <c r="F59" s="29">
        <v>5.6338920000000003</v>
      </c>
    </row>
    <row r="60" spans="1:6" x14ac:dyDescent="0.25">
      <c r="A60" s="19" t="s">
        <v>57</v>
      </c>
      <c r="B60" s="20">
        <v>406030</v>
      </c>
      <c r="C60" s="16" t="s">
        <v>112</v>
      </c>
      <c r="D60" s="30"/>
      <c r="E60" s="59"/>
      <c r="F60" s="29">
        <v>11.024243999999999</v>
      </c>
    </row>
    <row r="61" spans="1:6" x14ac:dyDescent="0.25">
      <c r="A61" s="19" t="s">
        <v>57</v>
      </c>
      <c r="B61" s="20">
        <v>437338</v>
      </c>
      <c r="C61" s="16" t="s">
        <v>116</v>
      </c>
      <c r="D61" s="30"/>
      <c r="E61" s="59"/>
      <c r="F61" s="29">
        <v>6.6405240000000001</v>
      </c>
    </row>
    <row r="62" spans="1:6" x14ac:dyDescent="0.25">
      <c r="A62" s="19" t="s">
        <v>57</v>
      </c>
      <c r="B62" s="20">
        <v>429030</v>
      </c>
      <c r="C62" s="16" t="s">
        <v>113</v>
      </c>
      <c r="D62" s="30"/>
      <c r="E62" s="59"/>
      <c r="F62" s="29">
        <v>7.0788960000000003</v>
      </c>
    </row>
    <row r="63" spans="1:6" x14ac:dyDescent="0.25">
      <c r="A63" s="19" t="s">
        <v>57</v>
      </c>
      <c r="B63" s="20">
        <v>401030</v>
      </c>
      <c r="C63" s="16" t="s">
        <v>114</v>
      </c>
      <c r="D63" s="30"/>
      <c r="E63" s="59"/>
      <c r="F63" s="29">
        <v>20.002752000000001</v>
      </c>
    </row>
    <row r="64" spans="1:6" x14ac:dyDescent="0.25">
      <c r="A64" s="19" t="s">
        <v>57</v>
      </c>
      <c r="B64" s="20">
        <v>437339</v>
      </c>
      <c r="C64" s="16" t="s">
        <v>115</v>
      </c>
      <c r="D64" s="30"/>
      <c r="E64" s="59"/>
      <c r="F64" s="29">
        <v>6.6405240000000001</v>
      </c>
    </row>
    <row r="65" spans="1:6" x14ac:dyDescent="0.25">
      <c r="A65" s="19" t="s">
        <v>57</v>
      </c>
      <c r="B65" s="20">
        <v>417030</v>
      </c>
      <c r="C65" s="16" t="s">
        <v>111</v>
      </c>
      <c r="D65" s="30"/>
      <c r="E65" s="59"/>
      <c r="F65" s="29">
        <v>16.528247999999998</v>
      </c>
    </row>
    <row r="66" spans="1:6" x14ac:dyDescent="0.25">
      <c r="A66" s="19" t="s">
        <v>57</v>
      </c>
      <c r="B66" s="20">
        <v>447030</v>
      </c>
      <c r="C66" s="16" t="s">
        <v>110</v>
      </c>
      <c r="D66" s="30"/>
      <c r="E66" s="59"/>
      <c r="F66" s="29">
        <v>6.1047359999999991</v>
      </c>
    </row>
    <row r="67" spans="1:6" x14ac:dyDescent="0.25">
      <c r="A67" s="19" t="s">
        <v>57</v>
      </c>
      <c r="B67" s="20">
        <v>401040</v>
      </c>
      <c r="C67" s="16" t="s">
        <v>122</v>
      </c>
      <c r="D67" s="30"/>
      <c r="E67" s="59"/>
      <c r="F67" s="29">
        <v>24.841079999999998</v>
      </c>
    </row>
    <row r="68" spans="1:6" x14ac:dyDescent="0.25">
      <c r="A68" s="19" t="s">
        <v>57</v>
      </c>
      <c r="B68" s="20">
        <v>437422</v>
      </c>
      <c r="C68" s="16" t="s">
        <v>126</v>
      </c>
      <c r="D68" s="30"/>
      <c r="E68" s="59"/>
      <c r="F68" s="29">
        <v>10.115027999999999</v>
      </c>
    </row>
    <row r="69" spans="1:6" x14ac:dyDescent="0.25">
      <c r="A69" s="19" t="s">
        <v>57</v>
      </c>
      <c r="B69" s="20">
        <v>437421</v>
      </c>
      <c r="C69" s="16" t="s">
        <v>125</v>
      </c>
      <c r="D69" s="30"/>
      <c r="E69" s="59"/>
      <c r="F69" s="29">
        <v>10.115027999999999</v>
      </c>
    </row>
    <row r="70" spans="1:6" x14ac:dyDescent="0.25">
      <c r="A70" s="19" t="s">
        <v>57</v>
      </c>
      <c r="B70" s="20">
        <v>429040</v>
      </c>
      <c r="C70" s="16" t="s">
        <v>121</v>
      </c>
      <c r="D70" s="30"/>
      <c r="E70" s="59"/>
      <c r="F70" s="29">
        <v>7.5984479999999994</v>
      </c>
    </row>
    <row r="71" spans="1:6" x14ac:dyDescent="0.25">
      <c r="A71" s="19" t="s">
        <v>57</v>
      </c>
      <c r="B71" s="20">
        <v>406040</v>
      </c>
      <c r="C71" s="16" t="s">
        <v>120</v>
      </c>
      <c r="D71" s="30"/>
      <c r="E71" s="59"/>
      <c r="F71" s="29">
        <v>15.0183</v>
      </c>
    </row>
    <row r="72" spans="1:6" x14ac:dyDescent="0.25">
      <c r="A72" s="19" t="s">
        <v>57</v>
      </c>
      <c r="B72" s="20">
        <v>437420</v>
      </c>
      <c r="C72" s="16" t="s">
        <v>123</v>
      </c>
      <c r="D72" s="30"/>
      <c r="E72" s="59"/>
      <c r="F72" s="29">
        <v>10.115027999999999</v>
      </c>
    </row>
    <row r="73" spans="1:6" x14ac:dyDescent="0.25">
      <c r="A73" s="19" t="s">
        <v>57</v>
      </c>
      <c r="B73" s="20">
        <v>417040</v>
      </c>
      <c r="C73" s="16" t="s">
        <v>119</v>
      </c>
      <c r="D73" s="30"/>
      <c r="E73" s="59"/>
      <c r="F73" s="29">
        <v>21.934835999999997</v>
      </c>
    </row>
    <row r="74" spans="1:6" x14ac:dyDescent="0.25">
      <c r="A74" s="19" t="s">
        <v>57</v>
      </c>
      <c r="B74" s="20">
        <v>447040</v>
      </c>
      <c r="C74" s="16" t="s">
        <v>118</v>
      </c>
      <c r="D74" s="30"/>
      <c r="E74" s="59"/>
      <c r="F74" s="29">
        <v>10.407276</v>
      </c>
    </row>
    <row r="75" spans="1:6" x14ac:dyDescent="0.25">
      <c r="A75" s="19" t="s">
        <v>57</v>
      </c>
      <c r="B75" s="16" t="s">
        <v>465</v>
      </c>
      <c r="C75" s="16" t="s">
        <v>129</v>
      </c>
      <c r="D75" s="30"/>
      <c r="E75" s="59"/>
      <c r="F75" s="29">
        <v>22.551803999999997</v>
      </c>
    </row>
    <row r="76" spans="1:6" x14ac:dyDescent="0.25">
      <c r="A76" s="19" t="s">
        <v>57</v>
      </c>
      <c r="B76" s="16" t="s">
        <v>466</v>
      </c>
      <c r="C76" s="16" t="s">
        <v>127</v>
      </c>
      <c r="D76" s="30"/>
      <c r="E76" s="59"/>
      <c r="F76" s="29">
        <v>45.363383999999996</v>
      </c>
    </row>
    <row r="77" spans="1:6" x14ac:dyDescent="0.25">
      <c r="A77" s="19" t="s">
        <v>57</v>
      </c>
      <c r="B77" s="20">
        <v>401060</v>
      </c>
      <c r="C77" s="16" t="s">
        <v>128</v>
      </c>
      <c r="D77" s="30"/>
      <c r="E77" s="59"/>
      <c r="F77" s="29">
        <v>80.254547999999986</v>
      </c>
    </row>
    <row r="78" spans="1:6" x14ac:dyDescent="0.25">
      <c r="A78" s="19" t="s">
        <v>57</v>
      </c>
      <c r="B78" s="16" t="s">
        <v>467</v>
      </c>
      <c r="C78" s="16" t="s">
        <v>130</v>
      </c>
      <c r="D78" s="30"/>
      <c r="E78" s="59"/>
      <c r="F78" s="29">
        <v>103.39084800000001</v>
      </c>
    </row>
    <row r="79" spans="1:6" x14ac:dyDescent="0.25">
      <c r="A79" s="19" t="s">
        <v>57</v>
      </c>
      <c r="B79" s="20">
        <v>406080</v>
      </c>
      <c r="C79" s="16" t="s">
        <v>134</v>
      </c>
      <c r="D79" s="30"/>
      <c r="E79" s="59"/>
      <c r="F79" s="29">
        <v>131.52783600000001</v>
      </c>
    </row>
    <row r="80" spans="1:6" x14ac:dyDescent="0.25">
      <c r="A80" s="19" t="s">
        <v>57</v>
      </c>
      <c r="B80" s="16" t="s">
        <v>468</v>
      </c>
      <c r="C80" s="16" t="s">
        <v>131</v>
      </c>
      <c r="D80" s="30"/>
      <c r="E80" s="59"/>
      <c r="F80" s="29">
        <v>48.123503999999997</v>
      </c>
    </row>
    <row r="81" spans="1:6" x14ac:dyDescent="0.25">
      <c r="A81" s="19" t="s">
        <v>57</v>
      </c>
      <c r="B81" s="20">
        <v>429080</v>
      </c>
      <c r="C81" s="16" t="s">
        <v>135</v>
      </c>
      <c r="D81" s="30"/>
      <c r="E81" s="59"/>
      <c r="F81" s="29">
        <v>45.054900000000004</v>
      </c>
    </row>
    <row r="82" spans="1:6" x14ac:dyDescent="0.25">
      <c r="A82" s="19" t="s">
        <v>57</v>
      </c>
      <c r="B82" s="20">
        <v>406120</v>
      </c>
      <c r="C82" s="16" t="s">
        <v>80</v>
      </c>
      <c r="D82" s="30"/>
      <c r="E82" s="59"/>
      <c r="F82" s="29">
        <v>546.77977199999998</v>
      </c>
    </row>
    <row r="83" spans="1:6" x14ac:dyDescent="0.25">
      <c r="A83" s="19" t="s">
        <v>57</v>
      </c>
      <c r="B83" s="20">
        <v>401120</v>
      </c>
      <c r="C83" s="16" t="s">
        <v>82</v>
      </c>
      <c r="D83" s="30"/>
      <c r="E83" s="59"/>
      <c r="F83" s="29">
        <v>786.42313200000012</v>
      </c>
    </row>
    <row r="84" spans="1:6" x14ac:dyDescent="0.25">
      <c r="A84" s="19" t="s">
        <v>57</v>
      </c>
      <c r="B84" s="20">
        <v>447120</v>
      </c>
      <c r="C84" s="16" t="s">
        <v>78</v>
      </c>
      <c r="D84" s="30"/>
      <c r="E84" s="59"/>
      <c r="F84" s="29">
        <v>124.757424</v>
      </c>
    </row>
    <row r="85" spans="1:6" x14ac:dyDescent="0.25">
      <c r="A85" s="19" t="s">
        <v>57</v>
      </c>
      <c r="B85" s="20">
        <v>417120</v>
      </c>
      <c r="C85" s="16" t="s">
        <v>79</v>
      </c>
      <c r="D85" s="30"/>
      <c r="E85" s="59"/>
      <c r="F85" s="29">
        <v>394.09642799999995</v>
      </c>
    </row>
    <row r="86" spans="1:6" x14ac:dyDescent="0.25">
      <c r="A86" s="19" t="s">
        <v>57</v>
      </c>
      <c r="B86" s="20">
        <v>429120</v>
      </c>
      <c r="C86" s="16" t="s">
        <v>81</v>
      </c>
      <c r="D86" s="30"/>
      <c r="E86" s="59"/>
      <c r="F86" s="29">
        <v>207.28501199999997</v>
      </c>
    </row>
    <row r="87" spans="1:6" x14ac:dyDescent="0.25">
      <c r="A87" s="19" t="s">
        <v>57</v>
      </c>
      <c r="B87" s="16" t="s">
        <v>469</v>
      </c>
      <c r="C87" s="16" t="s">
        <v>85</v>
      </c>
      <c r="D87" s="30"/>
      <c r="E87" s="59"/>
      <c r="F87" s="29">
        <v>211.79861999999997</v>
      </c>
    </row>
    <row r="88" spans="1:6" x14ac:dyDescent="0.25">
      <c r="A88" s="47" t="s">
        <v>57</v>
      </c>
      <c r="B88" s="49" t="s">
        <v>470</v>
      </c>
      <c r="C88" s="49" t="s">
        <v>84</v>
      </c>
      <c r="D88" s="50"/>
      <c r="E88" s="65"/>
      <c r="F88" s="57">
        <v>151.51435199999997</v>
      </c>
    </row>
    <row r="89" spans="1:6" x14ac:dyDescent="0.25">
      <c r="A89" s="117"/>
      <c r="B89" s="117"/>
      <c r="C89" s="117"/>
      <c r="D89" s="117"/>
      <c r="E89" s="117"/>
      <c r="F89" s="117"/>
    </row>
    <row r="90" spans="1:6" x14ac:dyDescent="0.25">
      <c r="A90" s="52"/>
      <c r="B90" s="53"/>
      <c r="C90" s="26"/>
      <c r="D90" s="26"/>
      <c r="E90" s="60"/>
      <c r="F90" s="64"/>
    </row>
    <row r="91" spans="1:6" x14ac:dyDescent="0.25">
      <c r="A91" s="52"/>
      <c r="B91" s="53"/>
      <c r="C91" s="26"/>
      <c r="D91" s="26"/>
      <c r="E91" s="60"/>
      <c r="F91" s="64"/>
    </row>
    <row r="92" spans="1:6" x14ac:dyDescent="0.25">
      <c r="A92" s="117"/>
      <c r="B92" s="117"/>
      <c r="C92" s="117"/>
      <c r="D92" s="117"/>
      <c r="E92" s="117"/>
      <c r="F92" s="117"/>
    </row>
    <row r="93" spans="1:6" x14ac:dyDescent="0.25">
      <c r="A93" s="52"/>
      <c r="B93" s="53"/>
      <c r="C93" s="26"/>
      <c r="D93" s="26"/>
      <c r="E93" s="60"/>
      <c r="F93" s="64"/>
    </row>
    <row r="94" spans="1:6" x14ac:dyDescent="0.25">
      <c r="A94" s="52"/>
      <c r="B94" s="53"/>
      <c r="C94" s="26"/>
      <c r="D94" s="26"/>
      <c r="E94" s="60"/>
      <c r="F94" s="64"/>
    </row>
    <row r="95" spans="1:6" x14ac:dyDescent="0.25">
      <c r="A95" s="52"/>
      <c r="B95" s="53"/>
      <c r="C95" s="26"/>
      <c r="D95" s="26"/>
      <c r="E95" s="60"/>
      <c r="F95" s="64"/>
    </row>
    <row r="96" spans="1:6" x14ac:dyDescent="0.25">
      <c r="A96" s="52"/>
      <c r="B96" s="53"/>
      <c r="C96" s="26"/>
      <c r="D96" s="26"/>
      <c r="E96" s="60"/>
      <c r="F96" s="64"/>
    </row>
    <row r="97" spans="1:6" x14ac:dyDescent="0.25">
      <c r="A97" s="52"/>
      <c r="B97" s="53"/>
      <c r="C97" s="26"/>
      <c r="D97" s="26"/>
      <c r="E97" s="60"/>
      <c r="F97" s="64"/>
    </row>
    <row r="98" spans="1:6" x14ac:dyDescent="0.25">
      <c r="A98" s="52"/>
      <c r="B98" s="26"/>
      <c r="C98" s="26"/>
      <c r="D98" s="26"/>
      <c r="E98" s="60"/>
      <c r="F98" s="64"/>
    </row>
    <row r="99" spans="1:6" x14ac:dyDescent="0.25">
      <c r="A99" s="52"/>
      <c r="B99" s="26"/>
      <c r="C99" s="26"/>
      <c r="D99" s="26"/>
      <c r="E99" s="60"/>
      <c r="F99" s="64"/>
    </row>
  </sheetData>
  <mergeCells count="2">
    <mergeCell ref="A92:F92"/>
    <mergeCell ref="A89:F8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4EC32-DEF1-914E-A132-31CADC381B96}">
  <sheetPr codeName="Sheet9"/>
  <dimension ref="A1:F24"/>
  <sheetViews>
    <sheetView topLeftCell="A11" zoomScale="130" zoomScaleNormal="130" workbookViewId="0">
      <selection activeCell="E11" sqref="E1:E1048576"/>
    </sheetView>
  </sheetViews>
  <sheetFormatPr defaultColWidth="10.6015625" defaultRowHeight="16.5" x14ac:dyDescent="0.25"/>
  <cols>
    <col min="1" max="1" width="17.6328125" bestFit="1" customWidth="1"/>
    <col min="2" max="2" width="10.35546875" bestFit="1" customWidth="1"/>
    <col min="3" max="3" width="54.0078125" style="21" bestFit="1" customWidth="1"/>
    <col min="4" max="4" width="18" style="21" customWidth="1"/>
    <col min="5" max="5" width="15.78125" style="62" customWidth="1"/>
    <col min="6" max="6" width="15.04296875" style="56" customWidth="1"/>
  </cols>
  <sheetData>
    <row r="1" spans="1:6" x14ac:dyDescent="0.25">
      <c r="A1" s="19" t="s">
        <v>238</v>
      </c>
      <c r="B1" s="27" t="s">
        <v>471</v>
      </c>
      <c r="C1" s="28" t="s">
        <v>239</v>
      </c>
      <c r="D1" s="31"/>
      <c r="E1" s="59"/>
      <c r="F1" s="29">
        <v>7.2250199999999998</v>
      </c>
    </row>
    <row r="2" spans="1:6" x14ac:dyDescent="0.25">
      <c r="A2" s="19" t="s">
        <v>238</v>
      </c>
      <c r="B2" s="27" t="s">
        <v>472</v>
      </c>
      <c r="C2" s="28" t="s">
        <v>240</v>
      </c>
      <c r="D2" s="31"/>
      <c r="E2" s="59"/>
      <c r="F2" s="29">
        <v>7.2250199999999998</v>
      </c>
    </row>
    <row r="3" spans="1:6" x14ac:dyDescent="0.25">
      <c r="A3" s="19" t="s">
        <v>238</v>
      </c>
      <c r="B3" s="27" t="s">
        <v>473</v>
      </c>
      <c r="C3" s="28" t="s">
        <v>241</v>
      </c>
      <c r="D3" s="31"/>
      <c r="E3" s="59"/>
      <c r="F3" s="29">
        <v>7.9881119999999992</v>
      </c>
    </row>
    <row r="4" spans="1:6" x14ac:dyDescent="0.25">
      <c r="A4" s="19" t="s">
        <v>238</v>
      </c>
      <c r="B4" s="27" t="s">
        <v>474</v>
      </c>
      <c r="C4" s="28" t="s">
        <v>242</v>
      </c>
      <c r="D4" s="31"/>
      <c r="E4" s="59"/>
      <c r="F4" s="29">
        <v>7.9881119999999992</v>
      </c>
    </row>
    <row r="5" spans="1:6" x14ac:dyDescent="0.25">
      <c r="A5" s="19" t="s">
        <v>238</v>
      </c>
      <c r="B5" s="28" t="s">
        <v>475</v>
      </c>
      <c r="C5" s="28" t="s">
        <v>243</v>
      </c>
      <c r="D5" s="31"/>
      <c r="E5" s="59"/>
      <c r="F5" s="29">
        <v>10.894355999999998</v>
      </c>
    </row>
    <row r="6" spans="1:6" x14ac:dyDescent="0.25">
      <c r="A6" s="19" t="s">
        <v>238</v>
      </c>
      <c r="B6" s="28" t="s">
        <v>476</v>
      </c>
      <c r="C6" s="28" t="s">
        <v>244</v>
      </c>
      <c r="D6" s="31"/>
      <c r="E6" s="59"/>
      <c r="F6" s="29">
        <v>10.602107999999998</v>
      </c>
    </row>
    <row r="7" spans="1:6" x14ac:dyDescent="0.25">
      <c r="A7" s="19" t="s">
        <v>238</v>
      </c>
      <c r="B7" s="16" t="s">
        <v>477</v>
      </c>
      <c r="C7" s="16" t="s">
        <v>245</v>
      </c>
      <c r="D7" s="30"/>
      <c r="E7" s="59"/>
      <c r="F7" s="29">
        <v>12.550428</v>
      </c>
    </row>
    <row r="8" spans="1:6" x14ac:dyDescent="0.25">
      <c r="A8" s="19" t="s">
        <v>238</v>
      </c>
      <c r="B8" s="28" t="s">
        <v>478</v>
      </c>
      <c r="C8" s="28" t="s">
        <v>246</v>
      </c>
      <c r="D8" s="31"/>
      <c r="E8" s="59"/>
      <c r="F8" s="29">
        <v>13.297283999999999</v>
      </c>
    </row>
    <row r="9" spans="1:6" x14ac:dyDescent="0.25">
      <c r="A9" s="19" t="s">
        <v>238</v>
      </c>
      <c r="B9" s="28" t="s">
        <v>479</v>
      </c>
      <c r="C9" s="28" t="s">
        <v>247</v>
      </c>
      <c r="D9" s="31"/>
      <c r="E9" s="59"/>
      <c r="F9" s="29">
        <v>13.297283999999999</v>
      </c>
    </row>
    <row r="10" spans="1:6" x14ac:dyDescent="0.25">
      <c r="A10" s="19" t="s">
        <v>238</v>
      </c>
      <c r="B10" s="16" t="s">
        <v>480</v>
      </c>
      <c r="C10" s="16" t="s">
        <v>248</v>
      </c>
      <c r="D10" s="30"/>
      <c r="E10" s="59"/>
      <c r="F10" s="29">
        <v>13.573295999999997</v>
      </c>
    </row>
    <row r="11" spans="1:6" x14ac:dyDescent="0.25">
      <c r="A11" s="19" t="s">
        <v>238</v>
      </c>
      <c r="B11" s="16" t="s">
        <v>481</v>
      </c>
      <c r="C11" s="16" t="s">
        <v>249</v>
      </c>
      <c r="D11" s="30"/>
      <c r="E11" s="59"/>
      <c r="F11" s="29">
        <v>13.573295999999997</v>
      </c>
    </row>
    <row r="12" spans="1:6" x14ac:dyDescent="0.25">
      <c r="A12" s="19" t="s">
        <v>238</v>
      </c>
      <c r="B12" s="16" t="s">
        <v>482</v>
      </c>
      <c r="C12" s="16" t="s">
        <v>250</v>
      </c>
      <c r="D12" s="30"/>
      <c r="E12" s="59"/>
      <c r="F12" s="29">
        <v>13.573295999999997</v>
      </c>
    </row>
    <row r="13" spans="1:6" x14ac:dyDescent="0.25">
      <c r="A13" s="19" t="s">
        <v>238</v>
      </c>
      <c r="B13" s="16" t="s">
        <v>483</v>
      </c>
      <c r="C13" s="16" t="s">
        <v>251</v>
      </c>
      <c r="D13" s="30"/>
      <c r="E13" s="59"/>
      <c r="F13" s="29">
        <v>13.573295999999997</v>
      </c>
    </row>
    <row r="14" spans="1:6" x14ac:dyDescent="0.25">
      <c r="A14" s="19" t="s">
        <v>238</v>
      </c>
      <c r="B14" s="16" t="s">
        <v>484</v>
      </c>
      <c r="C14" s="16" t="s">
        <v>252</v>
      </c>
      <c r="D14" s="30"/>
      <c r="E14" s="59"/>
      <c r="F14" s="29">
        <v>13.573295999999997</v>
      </c>
    </row>
    <row r="15" spans="1:6" x14ac:dyDescent="0.25">
      <c r="A15" s="19" t="s">
        <v>238</v>
      </c>
      <c r="B15" s="16" t="s">
        <v>485</v>
      </c>
      <c r="C15" s="16" t="s">
        <v>253</v>
      </c>
      <c r="D15" s="30"/>
      <c r="E15" s="59"/>
      <c r="F15" s="29">
        <v>13.573295999999997</v>
      </c>
    </row>
    <row r="16" spans="1:6" x14ac:dyDescent="0.25">
      <c r="A16" s="19" t="s">
        <v>238</v>
      </c>
      <c r="B16" s="27" t="s">
        <v>486</v>
      </c>
      <c r="C16" s="28" t="s">
        <v>254</v>
      </c>
      <c r="D16" s="31"/>
      <c r="E16" s="59"/>
      <c r="F16" s="29">
        <v>13.573295999999997</v>
      </c>
    </row>
    <row r="17" spans="1:6" x14ac:dyDescent="0.25">
      <c r="A17" s="19" t="s">
        <v>238</v>
      </c>
      <c r="B17" s="16" t="s">
        <v>487</v>
      </c>
      <c r="C17" s="16" t="s">
        <v>255</v>
      </c>
      <c r="D17" s="30"/>
      <c r="E17" s="59"/>
      <c r="F17" s="29">
        <v>18.346679999999999</v>
      </c>
    </row>
    <row r="18" spans="1:6" x14ac:dyDescent="0.25">
      <c r="A18" s="19" t="s">
        <v>238</v>
      </c>
      <c r="B18" s="16" t="s">
        <v>488</v>
      </c>
      <c r="C18" s="16" t="s">
        <v>256</v>
      </c>
      <c r="D18" s="30"/>
      <c r="E18" s="59"/>
      <c r="F18" s="29">
        <v>15.537852000000001</v>
      </c>
    </row>
    <row r="19" spans="1:6" x14ac:dyDescent="0.25">
      <c r="A19" s="19" t="s">
        <v>238</v>
      </c>
      <c r="B19" s="28" t="s">
        <v>489</v>
      </c>
      <c r="C19" s="28" t="s">
        <v>257</v>
      </c>
      <c r="D19" s="31"/>
      <c r="E19" s="59"/>
      <c r="F19" s="29">
        <v>15.537852000000001</v>
      </c>
    </row>
    <row r="20" spans="1:6" x14ac:dyDescent="0.25">
      <c r="A20" s="19" t="s">
        <v>238</v>
      </c>
      <c r="B20" s="28" t="s">
        <v>490</v>
      </c>
      <c r="C20" s="28" t="s">
        <v>258</v>
      </c>
      <c r="D20" s="31"/>
      <c r="E20" s="59"/>
      <c r="F20" s="29">
        <v>15.537852000000001</v>
      </c>
    </row>
    <row r="21" spans="1:6" x14ac:dyDescent="0.25">
      <c r="A21" s="19" t="s">
        <v>238</v>
      </c>
      <c r="B21" s="28" t="s">
        <v>491</v>
      </c>
      <c r="C21" s="28" t="s">
        <v>259</v>
      </c>
      <c r="D21" s="31"/>
      <c r="E21" s="59"/>
      <c r="F21" s="29">
        <v>15.537852000000001</v>
      </c>
    </row>
    <row r="22" spans="1:6" x14ac:dyDescent="0.25">
      <c r="A22" s="19" t="s">
        <v>238</v>
      </c>
      <c r="B22" s="28" t="s">
        <v>492</v>
      </c>
      <c r="C22" s="28" t="s">
        <v>260</v>
      </c>
      <c r="D22" s="31"/>
      <c r="E22" s="59"/>
      <c r="F22" s="29">
        <v>15.537852000000001</v>
      </c>
    </row>
    <row r="23" spans="1:6" x14ac:dyDescent="0.25">
      <c r="A23" s="19" t="s">
        <v>238</v>
      </c>
      <c r="B23" s="28" t="s">
        <v>493</v>
      </c>
      <c r="C23" s="28" t="s">
        <v>261</v>
      </c>
      <c r="D23" s="31"/>
      <c r="E23" s="59"/>
      <c r="F23" s="29">
        <v>18.346679999999999</v>
      </c>
    </row>
    <row r="24" spans="1:6" x14ac:dyDescent="0.25">
      <c r="A24" s="19" t="s">
        <v>238</v>
      </c>
      <c r="B24" s="16" t="s">
        <v>494</v>
      </c>
      <c r="C24" s="16" t="s">
        <v>262</v>
      </c>
      <c r="D24" s="30"/>
      <c r="E24" s="59"/>
      <c r="F24" s="29">
        <v>17.924543999999997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886F7-DF48-FC44-866B-13F2707722AA}">
  <sheetPr codeName="Sheet10"/>
  <dimension ref="A1:F19"/>
  <sheetViews>
    <sheetView zoomScale="120" zoomScaleNormal="120" workbookViewId="0">
      <selection activeCell="E1" sqref="E1:E1048576"/>
    </sheetView>
  </sheetViews>
  <sheetFormatPr defaultColWidth="10.6015625" defaultRowHeight="16.5" x14ac:dyDescent="0.25"/>
  <cols>
    <col min="1" max="1" width="18.49609375" style="21" bestFit="1" customWidth="1"/>
    <col min="2" max="2" width="13.4375" style="21" customWidth="1"/>
    <col min="3" max="3" width="66.95703125" bestFit="1" customWidth="1"/>
    <col min="4" max="4" width="23.1796875" customWidth="1"/>
    <col min="5" max="5" width="16.5234375" style="61" customWidth="1"/>
    <col min="6" max="6" width="11.9609375" style="1" bestFit="1" customWidth="1"/>
  </cols>
  <sheetData>
    <row r="1" spans="1:6" x14ac:dyDescent="0.25">
      <c r="A1" s="19" t="s">
        <v>201</v>
      </c>
      <c r="B1" s="20">
        <v>523910</v>
      </c>
      <c r="C1" s="16" t="s">
        <v>202</v>
      </c>
      <c r="D1" s="30"/>
      <c r="E1" s="59"/>
      <c r="F1" s="29">
        <v>2105.4032999999999</v>
      </c>
    </row>
    <row r="2" spans="1:6" x14ac:dyDescent="0.25">
      <c r="A2" s="19" t="s">
        <v>201</v>
      </c>
      <c r="B2" s="20">
        <v>521903</v>
      </c>
      <c r="C2" s="16" t="s">
        <v>203</v>
      </c>
      <c r="D2" s="30"/>
      <c r="E2" s="59"/>
      <c r="F2" s="29">
        <v>5990.1747840000007</v>
      </c>
    </row>
    <row r="3" spans="1:6" x14ac:dyDescent="0.25">
      <c r="A3" s="19" t="s">
        <v>201</v>
      </c>
      <c r="B3" s="20">
        <v>521915</v>
      </c>
      <c r="C3" s="24" t="s">
        <v>499</v>
      </c>
      <c r="D3" s="30"/>
      <c r="E3" s="59"/>
      <c r="F3" s="29">
        <v>3853.2898799999998</v>
      </c>
    </row>
    <row r="4" spans="1:6" x14ac:dyDescent="0.25">
      <c r="A4" s="19" t="s">
        <v>201</v>
      </c>
      <c r="B4" s="20">
        <v>522036</v>
      </c>
      <c r="C4" s="16" t="s">
        <v>204</v>
      </c>
      <c r="D4" s="30"/>
      <c r="E4" s="59"/>
      <c r="F4" s="29">
        <v>1213.770888</v>
      </c>
    </row>
    <row r="5" spans="1:6" x14ac:dyDescent="0.25">
      <c r="A5" s="19" t="s">
        <v>201</v>
      </c>
      <c r="B5" s="20" t="s">
        <v>500</v>
      </c>
      <c r="C5" s="16" t="s">
        <v>205</v>
      </c>
      <c r="D5" s="30"/>
      <c r="E5" s="59"/>
      <c r="F5" s="29">
        <v>370.27821599999999</v>
      </c>
    </row>
    <row r="6" spans="1:6" x14ac:dyDescent="0.25">
      <c r="A6" s="19" t="s">
        <v>201</v>
      </c>
      <c r="B6" s="20">
        <v>523434</v>
      </c>
      <c r="C6" s="16" t="s">
        <v>206</v>
      </c>
      <c r="D6" s="30"/>
      <c r="E6" s="59"/>
      <c r="F6" s="29">
        <v>505.15066799999988</v>
      </c>
    </row>
    <row r="7" spans="1:6" x14ac:dyDescent="0.25">
      <c r="A7" s="19" t="s">
        <v>201</v>
      </c>
      <c r="B7" s="20">
        <v>263045</v>
      </c>
      <c r="C7" s="16" t="s">
        <v>207</v>
      </c>
      <c r="D7" s="30"/>
      <c r="E7" s="59"/>
      <c r="F7" s="29">
        <v>314.92969199999999</v>
      </c>
    </row>
    <row r="8" spans="1:6" x14ac:dyDescent="0.25">
      <c r="A8" s="19" t="s">
        <v>201</v>
      </c>
      <c r="B8" s="20">
        <v>521485</v>
      </c>
      <c r="C8" s="16" t="s">
        <v>208</v>
      </c>
      <c r="D8" s="30"/>
      <c r="E8" s="59"/>
      <c r="F8" s="29">
        <v>352.17507599999999</v>
      </c>
    </row>
    <row r="9" spans="1:6" x14ac:dyDescent="0.25">
      <c r="A9" s="19" t="s">
        <v>201</v>
      </c>
      <c r="B9" s="20">
        <v>521885</v>
      </c>
      <c r="C9" s="16" t="s">
        <v>209</v>
      </c>
      <c r="D9" s="30"/>
      <c r="E9" s="59"/>
      <c r="F9" s="29">
        <v>419.86295999999999</v>
      </c>
    </row>
    <row r="10" spans="1:6" x14ac:dyDescent="0.25">
      <c r="A10" s="19" t="s">
        <v>201</v>
      </c>
      <c r="B10" s="20">
        <v>521887</v>
      </c>
      <c r="C10" s="16" t="s">
        <v>210</v>
      </c>
      <c r="D10" s="30"/>
      <c r="E10" s="59"/>
      <c r="F10" s="29">
        <v>475.13030399999991</v>
      </c>
    </row>
    <row r="11" spans="1:6" x14ac:dyDescent="0.25">
      <c r="A11" s="19" t="s">
        <v>201</v>
      </c>
      <c r="B11" s="20">
        <v>521178</v>
      </c>
      <c r="C11" s="16" t="s">
        <v>211</v>
      </c>
      <c r="D11" s="30"/>
      <c r="E11" s="59"/>
      <c r="F11" s="29">
        <v>1121.7777120000001</v>
      </c>
    </row>
    <row r="12" spans="1:6" x14ac:dyDescent="0.25">
      <c r="A12" s="19" t="s">
        <v>201</v>
      </c>
      <c r="B12" s="20">
        <v>521176</v>
      </c>
      <c r="C12" s="16" t="s">
        <v>212</v>
      </c>
      <c r="D12" s="30"/>
      <c r="E12" s="59"/>
      <c r="F12" s="29">
        <v>1120.3327079999999</v>
      </c>
    </row>
    <row r="13" spans="1:6" x14ac:dyDescent="0.25">
      <c r="A13" s="19" t="s">
        <v>201</v>
      </c>
      <c r="B13" s="20">
        <v>521180</v>
      </c>
      <c r="C13" s="16" t="s">
        <v>213</v>
      </c>
      <c r="D13" s="30"/>
      <c r="E13" s="59"/>
      <c r="F13" s="29">
        <v>69.295248000000001</v>
      </c>
    </row>
    <row r="14" spans="1:6" x14ac:dyDescent="0.25">
      <c r="A14" s="19" t="s">
        <v>201</v>
      </c>
      <c r="B14" s="20">
        <v>520272</v>
      </c>
      <c r="C14" s="16" t="s">
        <v>330</v>
      </c>
      <c r="D14" s="30"/>
      <c r="E14" s="59"/>
      <c r="F14" s="29">
        <v>99.088307999999984</v>
      </c>
    </row>
    <row r="15" spans="1:6" x14ac:dyDescent="0.25">
      <c r="A15" s="19" t="s">
        <v>201</v>
      </c>
      <c r="B15" s="20" t="s">
        <v>501</v>
      </c>
      <c r="C15" s="16" t="s">
        <v>214</v>
      </c>
      <c r="D15" s="30"/>
      <c r="E15" s="59"/>
      <c r="F15" s="29">
        <v>907.933356</v>
      </c>
    </row>
    <row r="16" spans="1:6" x14ac:dyDescent="0.25">
      <c r="A16" s="19" t="s">
        <v>201</v>
      </c>
      <c r="B16" s="20" t="s">
        <v>502</v>
      </c>
      <c r="C16" s="16" t="s">
        <v>215</v>
      </c>
      <c r="D16" s="30"/>
      <c r="E16" s="59"/>
      <c r="F16" s="29">
        <v>216.88048800000001</v>
      </c>
    </row>
    <row r="17" spans="1:6" x14ac:dyDescent="0.25">
      <c r="A17" s="19" t="s">
        <v>201</v>
      </c>
      <c r="B17" s="24" t="s">
        <v>503</v>
      </c>
      <c r="C17" s="24" t="s">
        <v>504</v>
      </c>
      <c r="D17" s="30"/>
      <c r="E17" s="59"/>
      <c r="F17" s="29">
        <v>157.748976</v>
      </c>
    </row>
    <row r="18" spans="1:6" x14ac:dyDescent="0.25">
      <c r="A18" s="19" t="s">
        <v>201</v>
      </c>
      <c r="B18" s="20">
        <v>618031</v>
      </c>
      <c r="C18" s="16" t="s">
        <v>216</v>
      </c>
      <c r="D18" s="30"/>
      <c r="E18" s="59"/>
      <c r="F18" s="29">
        <v>487.30730399999999</v>
      </c>
    </row>
    <row r="19" spans="1:6" x14ac:dyDescent="0.25">
      <c r="A19" s="19" t="s">
        <v>201</v>
      </c>
      <c r="B19" s="20">
        <v>522104</v>
      </c>
      <c r="C19" s="16" t="s">
        <v>217</v>
      </c>
      <c r="D19" s="30"/>
      <c r="E19" s="59"/>
      <c r="F19" s="29">
        <v>943.00311599999975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03E46-8999-C344-9E0C-E7609514D534}">
  <sheetPr codeName="Sheet11"/>
  <dimension ref="A1:F18"/>
  <sheetViews>
    <sheetView zoomScale="130" zoomScaleNormal="130" workbookViewId="0">
      <selection activeCell="E1" sqref="E1:E1048576"/>
    </sheetView>
  </sheetViews>
  <sheetFormatPr defaultColWidth="10.6015625" defaultRowHeight="16.5" x14ac:dyDescent="0.25"/>
  <cols>
    <col min="2" max="2" width="11.46484375" bestFit="1" customWidth="1"/>
    <col min="3" max="3" width="66.8359375" style="21" bestFit="1" customWidth="1"/>
    <col min="4" max="4" width="16.27734375" style="21" customWidth="1"/>
    <col min="5" max="5" width="14.0546875" style="62" customWidth="1"/>
    <col min="6" max="6" width="13.19140625" style="56" customWidth="1"/>
  </cols>
  <sheetData>
    <row r="1" spans="1:6" x14ac:dyDescent="0.25">
      <c r="A1" s="19" t="s">
        <v>263</v>
      </c>
      <c r="B1" s="20">
        <v>460737</v>
      </c>
      <c r="C1" s="16" t="s">
        <v>331</v>
      </c>
      <c r="D1" s="30"/>
      <c r="E1" s="59"/>
      <c r="F1" s="29">
        <v>4512.3253559999994</v>
      </c>
    </row>
    <row r="2" spans="1:6" x14ac:dyDescent="0.25">
      <c r="A2" s="19" t="s">
        <v>263</v>
      </c>
      <c r="B2" s="20">
        <v>460733</v>
      </c>
      <c r="C2" s="16" t="s">
        <v>332</v>
      </c>
      <c r="D2" s="30"/>
      <c r="E2" s="59"/>
      <c r="F2" s="29">
        <v>3507.1708319999998</v>
      </c>
    </row>
    <row r="3" spans="1:6" x14ac:dyDescent="0.25">
      <c r="A3" s="19" t="s">
        <v>263</v>
      </c>
      <c r="B3" s="20" t="s">
        <v>505</v>
      </c>
      <c r="C3" s="16" t="s">
        <v>333</v>
      </c>
      <c r="D3" s="30"/>
      <c r="E3" s="59"/>
      <c r="F3" s="29">
        <v>117.04532399999999</v>
      </c>
    </row>
    <row r="4" spans="1:6" x14ac:dyDescent="0.25">
      <c r="A4" s="19" t="s">
        <v>263</v>
      </c>
      <c r="B4" s="20" t="s">
        <v>506</v>
      </c>
      <c r="C4" s="16" t="s">
        <v>334</v>
      </c>
      <c r="D4" s="30"/>
      <c r="E4" s="59"/>
      <c r="F4" s="29">
        <v>155.70324000000002</v>
      </c>
    </row>
    <row r="5" spans="1:6" x14ac:dyDescent="0.25">
      <c r="A5" s="19" t="s">
        <v>263</v>
      </c>
      <c r="B5" s="20" t="s">
        <v>507</v>
      </c>
      <c r="C5" s="16" t="s">
        <v>335</v>
      </c>
      <c r="D5" s="30"/>
      <c r="E5" s="59"/>
      <c r="F5" s="29">
        <v>124.05927599999998</v>
      </c>
    </row>
    <row r="6" spans="1:6" x14ac:dyDescent="0.25">
      <c r="A6" s="19" t="s">
        <v>263</v>
      </c>
      <c r="B6" s="20" t="s">
        <v>508</v>
      </c>
      <c r="C6" s="16" t="s">
        <v>336</v>
      </c>
      <c r="D6" s="30"/>
      <c r="E6" s="59"/>
      <c r="F6" s="29">
        <v>98.568755999999993</v>
      </c>
    </row>
    <row r="7" spans="1:6" x14ac:dyDescent="0.25">
      <c r="A7" s="19" t="s">
        <v>263</v>
      </c>
      <c r="B7" s="20" t="s">
        <v>509</v>
      </c>
      <c r="C7" s="16" t="s">
        <v>337</v>
      </c>
      <c r="D7" s="30"/>
      <c r="E7" s="59"/>
      <c r="F7" s="29">
        <v>170.16951599999999</v>
      </c>
    </row>
    <row r="8" spans="1:6" x14ac:dyDescent="0.25">
      <c r="A8" s="19" t="s">
        <v>263</v>
      </c>
      <c r="B8" s="20">
        <v>461105</v>
      </c>
      <c r="C8" s="16" t="s">
        <v>338</v>
      </c>
      <c r="D8" s="30"/>
      <c r="E8" s="59"/>
      <c r="F8" s="29">
        <v>788.80982399999994</v>
      </c>
    </row>
    <row r="9" spans="1:6" x14ac:dyDescent="0.25">
      <c r="A9" s="19" t="s">
        <v>263</v>
      </c>
      <c r="B9" s="20" t="s">
        <v>510</v>
      </c>
      <c r="C9" s="16" t="s">
        <v>339</v>
      </c>
      <c r="D9" s="30"/>
      <c r="E9" s="59"/>
      <c r="F9" s="29">
        <v>124.30281600000001</v>
      </c>
    </row>
    <row r="10" spans="1:6" x14ac:dyDescent="0.25">
      <c r="A10" s="19" t="s">
        <v>263</v>
      </c>
      <c r="B10" s="20" t="s">
        <v>511</v>
      </c>
      <c r="C10" s="16" t="s">
        <v>340</v>
      </c>
      <c r="D10" s="30"/>
      <c r="E10" s="59"/>
      <c r="F10" s="29">
        <v>195.90357599999999</v>
      </c>
    </row>
    <row r="11" spans="1:6" x14ac:dyDescent="0.25">
      <c r="A11" s="19" t="s">
        <v>263</v>
      </c>
      <c r="B11" s="20" t="s">
        <v>512</v>
      </c>
      <c r="C11" s="16" t="s">
        <v>341</v>
      </c>
      <c r="D11" s="30"/>
      <c r="E11" s="59"/>
      <c r="F11" s="29">
        <v>536.11271999999985</v>
      </c>
    </row>
    <row r="12" spans="1:6" x14ac:dyDescent="0.25">
      <c r="A12" s="19" t="s">
        <v>263</v>
      </c>
      <c r="B12" s="20">
        <v>460748</v>
      </c>
      <c r="C12" s="16" t="s">
        <v>342</v>
      </c>
      <c r="D12" s="30"/>
      <c r="E12" s="59"/>
      <c r="F12" s="29">
        <v>774.47343599999999</v>
      </c>
    </row>
    <row r="13" spans="1:6" x14ac:dyDescent="0.25">
      <c r="A13" s="19" t="s">
        <v>263</v>
      </c>
      <c r="B13" s="20" t="s">
        <v>513</v>
      </c>
      <c r="C13" s="16" t="s">
        <v>343</v>
      </c>
      <c r="D13" s="30"/>
      <c r="E13" s="59"/>
      <c r="F13" s="29">
        <v>147.32546399999998</v>
      </c>
    </row>
    <row r="14" spans="1:6" x14ac:dyDescent="0.25">
      <c r="A14" s="19" t="s">
        <v>263</v>
      </c>
      <c r="B14" s="16" t="s">
        <v>514</v>
      </c>
      <c r="C14" s="16" t="s">
        <v>344</v>
      </c>
      <c r="D14" s="30"/>
      <c r="E14" s="59"/>
      <c r="F14" s="29">
        <v>1382.8201200000001</v>
      </c>
    </row>
    <row r="15" spans="1:6" x14ac:dyDescent="0.25">
      <c r="A15" s="19" t="s">
        <v>263</v>
      </c>
      <c r="B15" s="16" t="s">
        <v>515</v>
      </c>
      <c r="C15" s="16" t="s">
        <v>264</v>
      </c>
      <c r="D15" s="30"/>
      <c r="E15" s="59"/>
      <c r="F15" s="29">
        <v>6583.6979999999994</v>
      </c>
    </row>
    <row r="16" spans="1:6" x14ac:dyDescent="0.25">
      <c r="A16" s="19" t="s">
        <v>263</v>
      </c>
      <c r="B16" s="16" t="s">
        <v>516</v>
      </c>
      <c r="C16" s="16" t="s">
        <v>265</v>
      </c>
      <c r="D16" s="30"/>
      <c r="E16" s="59"/>
      <c r="F16" s="29">
        <v>7338.6719999999987</v>
      </c>
    </row>
    <row r="17" spans="1:6" x14ac:dyDescent="0.25">
      <c r="A17" s="16" t="s">
        <v>263</v>
      </c>
      <c r="B17" s="20">
        <v>17745</v>
      </c>
      <c r="C17" s="16" t="s">
        <v>345</v>
      </c>
      <c r="D17" s="30"/>
      <c r="E17" s="59"/>
      <c r="F17" s="29">
        <v>3715.4462400000002</v>
      </c>
    </row>
    <row r="18" spans="1:6" x14ac:dyDescent="0.25">
      <c r="A18" s="19" t="s">
        <v>263</v>
      </c>
      <c r="B18" s="20">
        <v>460958</v>
      </c>
      <c r="C18" s="16" t="s">
        <v>266</v>
      </c>
      <c r="D18" s="30"/>
      <c r="E18" s="59"/>
      <c r="F18" s="29">
        <v>7988.4204839999993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0F84A-1730-EA4F-89BB-B8824BD2967F}">
  <sheetPr codeName="Sheet12"/>
  <dimension ref="A1:F9"/>
  <sheetViews>
    <sheetView zoomScale="120" zoomScaleNormal="120" workbookViewId="0">
      <selection activeCell="F10" sqref="F10"/>
    </sheetView>
  </sheetViews>
  <sheetFormatPr defaultColWidth="10.6015625" defaultRowHeight="16.5" x14ac:dyDescent="0.25"/>
  <cols>
    <col min="1" max="1" width="24.16796875" bestFit="1" customWidth="1"/>
    <col min="3" max="3" width="46.85546875" style="21" bestFit="1" customWidth="1"/>
    <col min="4" max="4" width="11.21875" style="21" customWidth="1"/>
    <col min="5" max="5" width="14.30078125" style="62" customWidth="1"/>
    <col min="6" max="6" width="11.9609375" style="56" customWidth="1"/>
  </cols>
  <sheetData>
    <row r="1" spans="1:6" x14ac:dyDescent="0.25">
      <c r="A1" s="19" t="s">
        <v>267</v>
      </c>
      <c r="B1" s="16" t="s">
        <v>277</v>
      </c>
      <c r="C1" s="16" t="s">
        <v>268</v>
      </c>
      <c r="D1" s="30"/>
      <c r="E1" s="59"/>
      <c r="F1" s="29">
        <v>901.68249600000001</v>
      </c>
    </row>
    <row r="2" spans="1:6" x14ac:dyDescent="0.25">
      <c r="A2" s="19" t="s">
        <v>267</v>
      </c>
      <c r="B2" s="16" t="s">
        <v>278</v>
      </c>
      <c r="C2" s="16" t="s">
        <v>269</v>
      </c>
      <c r="D2" s="30"/>
      <c r="E2" s="59"/>
      <c r="F2" s="29">
        <v>770.99893199999997</v>
      </c>
    </row>
    <row r="3" spans="1:6" x14ac:dyDescent="0.25">
      <c r="A3" s="19" t="s">
        <v>267</v>
      </c>
      <c r="B3" s="16" t="s">
        <v>279</v>
      </c>
      <c r="C3" s="16" t="s">
        <v>270</v>
      </c>
      <c r="D3" s="30"/>
      <c r="E3" s="59"/>
      <c r="F3" s="29">
        <v>289.69894799999997</v>
      </c>
    </row>
    <row r="4" spans="1:6" x14ac:dyDescent="0.25">
      <c r="A4" s="19" t="s">
        <v>267</v>
      </c>
      <c r="B4" s="16" t="s">
        <v>280</v>
      </c>
      <c r="C4" s="16" t="s">
        <v>271</v>
      </c>
      <c r="D4" s="30"/>
      <c r="E4" s="59"/>
      <c r="F4" s="29">
        <v>504.03038399999991</v>
      </c>
    </row>
    <row r="5" spans="1:6" x14ac:dyDescent="0.25">
      <c r="A5" s="19" t="s">
        <v>267</v>
      </c>
      <c r="B5" s="16" t="s">
        <v>281</v>
      </c>
      <c r="C5" s="16" t="s">
        <v>272</v>
      </c>
      <c r="D5" s="30"/>
      <c r="E5" s="59"/>
      <c r="F5" s="29">
        <v>1292.174532</v>
      </c>
    </row>
    <row r="6" spans="1:6" x14ac:dyDescent="0.25">
      <c r="A6" s="19" t="s">
        <v>267</v>
      </c>
      <c r="B6" s="16" t="s">
        <v>282</v>
      </c>
      <c r="C6" s="16" t="s">
        <v>273</v>
      </c>
      <c r="D6" s="30"/>
      <c r="E6" s="59"/>
      <c r="F6" s="29">
        <v>356.91598800000003</v>
      </c>
    </row>
    <row r="7" spans="1:6" x14ac:dyDescent="0.25">
      <c r="A7" s="19" t="s">
        <v>267</v>
      </c>
      <c r="B7" s="16" t="s">
        <v>283</v>
      </c>
      <c r="C7" s="16" t="s">
        <v>274</v>
      </c>
      <c r="D7" s="30"/>
      <c r="E7" s="59"/>
      <c r="F7" s="29">
        <v>928.13093999999978</v>
      </c>
    </row>
    <row r="8" spans="1:6" x14ac:dyDescent="0.25">
      <c r="A8" s="19" t="s">
        <v>267</v>
      </c>
      <c r="B8" s="16" t="s">
        <v>284</v>
      </c>
      <c r="C8" s="16" t="s">
        <v>275</v>
      </c>
      <c r="D8" s="30"/>
      <c r="E8" s="59"/>
      <c r="F8" s="29">
        <v>79.605108000000001</v>
      </c>
    </row>
    <row r="9" spans="1:6" x14ac:dyDescent="0.25">
      <c r="A9" s="19" t="s">
        <v>267</v>
      </c>
      <c r="B9" s="16" t="s">
        <v>285</v>
      </c>
      <c r="C9" s="16" t="s">
        <v>276</v>
      </c>
      <c r="D9" s="30"/>
      <c r="E9" s="59"/>
      <c r="F9" s="29">
        <v>20.2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9049A-9318-184F-97F3-942749FA4A13}">
  <sheetPr codeName="Sheet13"/>
  <dimension ref="A1:G417"/>
  <sheetViews>
    <sheetView workbookViewId="0">
      <selection activeCell="G227" sqref="G227"/>
    </sheetView>
  </sheetViews>
  <sheetFormatPr defaultColWidth="10.6015625" defaultRowHeight="16.5" x14ac:dyDescent="0.25"/>
  <cols>
    <col min="1" max="1" width="14.1796875" bestFit="1" customWidth="1"/>
    <col min="2" max="2" width="25.15234375" bestFit="1" customWidth="1"/>
    <col min="3" max="3" width="17.140625" bestFit="1" customWidth="1"/>
    <col min="4" max="4" width="71.2734375" bestFit="1" customWidth="1"/>
    <col min="5" max="5" width="11.46484375" customWidth="1"/>
    <col min="6" max="6" width="11.46484375" style="1" customWidth="1"/>
    <col min="7" max="7" width="10.8515625" style="25"/>
  </cols>
  <sheetData>
    <row r="1" spans="1:7" x14ac:dyDescent="0.25">
      <c r="A1" s="41" t="s">
        <v>518</v>
      </c>
      <c r="B1" s="42" t="s">
        <v>519</v>
      </c>
      <c r="C1" s="43" t="s">
        <v>520</v>
      </c>
      <c r="D1" s="42" t="s">
        <v>521</v>
      </c>
      <c r="E1" s="44" t="s">
        <v>1127</v>
      </c>
      <c r="F1" s="58" t="s">
        <v>1128</v>
      </c>
      <c r="G1" s="45" t="s">
        <v>522</v>
      </c>
    </row>
    <row r="2" spans="1:7" hidden="1" x14ac:dyDescent="0.25">
      <c r="A2" s="34" t="s">
        <v>523</v>
      </c>
      <c r="B2" s="19" t="s">
        <v>399</v>
      </c>
      <c r="C2" s="16" t="s">
        <v>400</v>
      </c>
      <c r="D2" s="16" t="s">
        <v>151</v>
      </c>
      <c r="E2" s="30"/>
      <c r="F2" s="29"/>
      <c r="G2" s="40">
        <v>13.086216</v>
      </c>
    </row>
    <row r="3" spans="1:7" hidden="1" x14ac:dyDescent="0.25">
      <c r="A3" s="34" t="s">
        <v>524</v>
      </c>
      <c r="B3" s="19" t="s">
        <v>399</v>
      </c>
      <c r="C3" s="16" t="s">
        <v>401</v>
      </c>
      <c r="D3" s="16" t="s">
        <v>152</v>
      </c>
      <c r="E3" s="30"/>
      <c r="F3" s="29"/>
      <c r="G3" s="40">
        <v>13.508352</v>
      </c>
    </row>
    <row r="4" spans="1:7" hidden="1" x14ac:dyDescent="0.25">
      <c r="A4" s="34" t="s">
        <v>525</v>
      </c>
      <c r="B4" s="19" t="s">
        <v>399</v>
      </c>
      <c r="C4" s="16" t="s">
        <v>402</v>
      </c>
      <c r="D4" s="16" t="s">
        <v>153</v>
      </c>
      <c r="E4" s="30"/>
      <c r="F4" s="29"/>
      <c r="G4" s="40">
        <v>14.238971999999999</v>
      </c>
    </row>
    <row r="5" spans="1:7" hidden="1" x14ac:dyDescent="0.25">
      <c r="A5" s="34" t="s">
        <v>526</v>
      </c>
      <c r="B5" s="19" t="s">
        <v>399</v>
      </c>
      <c r="C5" s="16" t="s">
        <v>403</v>
      </c>
      <c r="D5" s="16" t="s">
        <v>154</v>
      </c>
      <c r="E5" s="30"/>
      <c r="F5" s="29"/>
      <c r="G5" s="40">
        <v>9.627948</v>
      </c>
    </row>
    <row r="6" spans="1:7" hidden="1" x14ac:dyDescent="0.25">
      <c r="A6" s="34" t="s">
        <v>527</v>
      </c>
      <c r="B6" s="19" t="s">
        <v>399</v>
      </c>
      <c r="C6" s="16" t="s">
        <v>404</v>
      </c>
      <c r="D6" s="16" t="s">
        <v>155</v>
      </c>
      <c r="E6" s="30"/>
      <c r="F6" s="29"/>
      <c r="G6" s="40">
        <v>9.1246320000000001</v>
      </c>
    </row>
    <row r="7" spans="1:7" hidden="1" x14ac:dyDescent="0.25">
      <c r="A7" s="34" t="s">
        <v>528</v>
      </c>
      <c r="B7" s="19" t="s">
        <v>399</v>
      </c>
      <c r="C7" s="16" t="s">
        <v>405</v>
      </c>
      <c r="D7" s="16" t="s">
        <v>156</v>
      </c>
      <c r="E7" s="30"/>
      <c r="F7" s="29"/>
      <c r="G7" s="40">
        <v>8.7512039999999978</v>
      </c>
    </row>
    <row r="8" spans="1:7" hidden="1" x14ac:dyDescent="0.25">
      <c r="A8" s="34" t="s">
        <v>529</v>
      </c>
      <c r="B8" s="19" t="s">
        <v>399</v>
      </c>
      <c r="C8" s="16" t="s">
        <v>406</v>
      </c>
      <c r="D8" s="16" t="s">
        <v>157</v>
      </c>
      <c r="E8" s="30"/>
      <c r="F8" s="29"/>
      <c r="G8" s="40">
        <v>8.4102479999999993</v>
      </c>
    </row>
    <row r="9" spans="1:7" hidden="1" x14ac:dyDescent="0.25">
      <c r="A9" s="34" t="s">
        <v>530</v>
      </c>
      <c r="B9" s="19" t="s">
        <v>399</v>
      </c>
      <c r="C9" s="16" t="s">
        <v>407</v>
      </c>
      <c r="D9" s="16" t="s">
        <v>158</v>
      </c>
      <c r="E9" s="30"/>
      <c r="F9" s="29"/>
      <c r="G9" s="40">
        <v>8.8810919999999989</v>
      </c>
    </row>
    <row r="10" spans="1:7" hidden="1" x14ac:dyDescent="0.25">
      <c r="A10" s="34" t="s">
        <v>531</v>
      </c>
      <c r="B10" s="19" t="s">
        <v>399</v>
      </c>
      <c r="C10" s="16" t="s">
        <v>408</v>
      </c>
      <c r="D10" s="16" t="s">
        <v>159</v>
      </c>
      <c r="E10" s="30"/>
      <c r="F10" s="29"/>
      <c r="G10" s="40">
        <v>8.1017640000000011</v>
      </c>
    </row>
    <row r="11" spans="1:7" hidden="1" x14ac:dyDescent="0.25">
      <c r="A11" s="34" t="s">
        <v>532</v>
      </c>
      <c r="B11" s="19" t="s">
        <v>399</v>
      </c>
      <c r="C11" s="16" t="s">
        <v>409</v>
      </c>
      <c r="D11" s="16" t="s">
        <v>160</v>
      </c>
      <c r="E11" s="30"/>
      <c r="F11" s="29"/>
      <c r="G11" s="40">
        <v>10.47222</v>
      </c>
    </row>
    <row r="12" spans="1:7" hidden="1" x14ac:dyDescent="0.25">
      <c r="A12" s="34" t="s">
        <v>533</v>
      </c>
      <c r="B12" s="19" t="s">
        <v>399</v>
      </c>
      <c r="C12" s="16" t="s">
        <v>410</v>
      </c>
      <c r="D12" s="16" t="s">
        <v>161</v>
      </c>
      <c r="E12" s="30"/>
      <c r="F12" s="29"/>
      <c r="G12" s="40">
        <v>15.456671999999998</v>
      </c>
    </row>
    <row r="13" spans="1:7" hidden="1" x14ac:dyDescent="0.25">
      <c r="A13" s="34" t="s">
        <v>534</v>
      </c>
      <c r="B13" s="19" t="s">
        <v>399</v>
      </c>
      <c r="C13" s="16" t="s">
        <v>411</v>
      </c>
      <c r="D13" s="16" t="s">
        <v>162</v>
      </c>
      <c r="E13" s="30"/>
      <c r="F13" s="29"/>
      <c r="G13" s="40">
        <v>9.3844080000000005</v>
      </c>
    </row>
    <row r="14" spans="1:7" hidden="1" x14ac:dyDescent="0.25">
      <c r="A14" s="34" t="s">
        <v>535</v>
      </c>
      <c r="B14" s="19" t="s">
        <v>399</v>
      </c>
      <c r="C14" s="16" t="s">
        <v>412</v>
      </c>
      <c r="D14" s="16" t="s">
        <v>163</v>
      </c>
      <c r="E14" s="30"/>
      <c r="F14" s="29"/>
      <c r="G14" s="40">
        <v>8.053055999999998</v>
      </c>
    </row>
    <row r="15" spans="1:7" hidden="1" x14ac:dyDescent="0.25">
      <c r="A15" s="34" t="s">
        <v>536</v>
      </c>
      <c r="B15" s="19" t="s">
        <v>399</v>
      </c>
      <c r="C15" s="20">
        <v>9191</v>
      </c>
      <c r="D15" s="16" t="s">
        <v>164</v>
      </c>
      <c r="E15" s="30"/>
      <c r="F15" s="29"/>
      <c r="G15" s="40">
        <v>4.6272599999999997</v>
      </c>
    </row>
    <row r="16" spans="1:7" hidden="1" x14ac:dyDescent="0.25">
      <c r="A16" s="34" t="s">
        <v>537</v>
      </c>
      <c r="B16" s="19" t="s">
        <v>413</v>
      </c>
      <c r="C16" s="20">
        <v>47247040</v>
      </c>
      <c r="D16" s="16" t="s">
        <v>140</v>
      </c>
      <c r="E16" s="30"/>
      <c r="F16" s="29"/>
      <c r="G16" s="40">
        <v>276.012</v>
      </c>
    </row>
    <row r="17" spans="1:7" hidden="1" x14ac:dyDescent="0.25">
      <c r="A17" s="34" t="s">
        <v>538</v>
      </c>
      <c r="B17" s="19" t="s">
        <v>413</v>
      </c>
      <c r="C17" s="19" t="s">
        <v>1126</v>
      </c>
      <c r="D17" s="16" t="s">
        <v>141</v>
      </c>
      <c r="E17" s="30"/>
      <c r="F17" s="29"/>
      <c r="G17" s="40">
        <v>29.257272</v>
      </c>
    </row>
    <row r="18" spans="1:7" hidden="1" x14ac:dyDescent="0.25">
      <c r="A18" s="34" t="s">
        <v>539</v>
      </c>
      <c r="B18" s="19" t="s">
        <v>413</v>
      </c>
      <c r="C18" s="20" t="s">
        <v>414</v>
      </c>
      <c r="D18" s="16" t="s">
        <v>142</v>
      </c>
      <c r="E18" s="30"/>
      <c r="F18" s="29"/>
      <c r="G18" s="40">
        <v>202.95000000000002</v>
      </c>
    </row>
    <row r="19" spans="1:7" hidden="1" x14ac:dyDescent="0.25">
      <c r="A19" s="34" t="s">
        <v>540</v>
      </c>
      <c r="B19" s="19" t="s">
        <v>413</v>
      </c>
      <c r="C19" s="20">
        <v>8368</v>
      </c>
      <c r="D19" s="16" t="s">
        <v>143</v>
      </c>
      <c r="E19" s="30"/>
      <c r="F19" s="29"/>
      <c r="G19" s="40">
        <v>12.453011999999998</v>
      </c>
    </row>
    <row r="20" spans="1:7" hidden="1" x14ac:dyDescent="0.25">
      <c r="A20" s="34" t="s">
        <v>541</v>
      </c>
      <c r="B20" s="19" t="s">
        <v>413</v>
      </c>
      <c r="C20" s="20">
        <v>47248000</v>
      </c>
      <c r="D20" s="16" t="s">
        <v>144</v>
      </c>
      <c r="E20" s="30"/>
      <c r="F20" s="29"/>
      <c r="G20" s="40">
        <v>25.084620000000001</v>
      </c>
    </row>
    <row r="21" spans="1:7" hidden="1" x14ac:dyDescent="0.25">
      <c r="A21" s="34" t="s">
        <v>542</v>
      </c>
      <c r="B21" s="19" t="s">
        <v>413</v>
      </c>
      <c r="C21" s="20" t="s">
        <v>415</v>
      </c>
      <c r="D21" s="16" t="s">
        <v>145</v>
      </c>
      <c r="E21" s="30"/>
      <c r="F21" s="29"/>
      <c r="G21" s="40">
        <v>48.902832000000004</v>
      </c>
    </row>
    <row r="22" spans="1:7" hidden="1" x14ac:dyDescent="0.25">
      <c r="A22" s="34" t="s">
        <v>543</v>
      </c>
      <c r="B22" s="19" t="s">
        <v>413</v>
      </c>
      <c r="C22" s="20">
        <v>20015498</v>
      </c>
      <c r="D22" s="16" t="s">
        <v>146</v>
      </c>
      <c r="E22" s="30"/>
      <c r="F22" s="29"/>
      <c r="G22" s="40">
        <v>51.760368</v>
      </c>
    </row>
    <row r="23" spans="1:7" hidden="1" x14ac:dyDescent="0.25">
      <c r="A23" s="34" t="s">
        <v>544</v>
      </c>
      <c r="B23" s="19" t="s">
        <v>413</v>
      </c>
      <c r="C23" s="20">
        <v>47245940</v>
      </c>
      <c r="D23" s="16" t="s">
        <v>147</v>
      </c>
      <c r="E23" s="30"/>
      <c r="F23" s="29"/>
      <c r="G23" s="40">
        <v>32.244695999999998</v>
      </c>
    </row>
    <row r="24" spans="1:7" hidden="1" x14ac:dyDescent="0.25">
      <c r="A24" s="34" t="s">
        <v>545</v>
      </c>
      <c r="B24" s="19" t="s">
        <v>413</v>
      </c>
      <c r="C24" s="20" t="s">
        <v>416</v>
      </c>
      <c r="D24" s="16" t="s">
        <v>148</v>
      </c>
      <c r="E24" s="30"/>
      <c r="F24" s="29"/>
      <c r="G24" s="40">
        <v>8.3290679999999995</v>
      </c>
    </row>
    <row r="25" spans="1:7" hidden="1" x14ac:dyDescent="0.25">
      <c r="A25" s="34" t="s">
        <v>546</v>
      </c>
      <c r="B25" s="19" t="s">
        <v>413</v>
      </c>
      <c r="C25" s="20">
        <v>72431</v>
      </c>
      <c r="D25" s="16" t="s">
        <v>149</v>
      </c>
      <c r="E25" s="30"/>
      <c r="F25" s="29"/>
      <c r="G25" s="40">
        <v>438.35576399999997</v>
      </c>
    </row>
    <row r="26" spans="1:7" hidden="1" x14ac:dyDescent="0.25">
      <c r="A26" s="34" t="s">
        <v>547</v>
      </c>
      <c r="B26" s="19" t="s">
        <v>413</v>
      </c>
      <c r="C26" s="20" t="s">
        <v>417</v>
      </c>
      <c r="D26" s="16" t="s">
        <v>418</v>
      </c>
      <c r="E26" s="30"/>
      <c r="F26" s="29"/>
      <c r="G26" s="40">
        <v>23.607143999999998</v>
      </c>
    </row>
    <row r="27" spans="1:7" hidden="1" x14ac:dyDescent="0.25">
      <c r="A27" s="34" t="s">
        <v>548</v>
      </c>
      <c r="B27" s="19" t="s">
        <v>413</v>
      </c>
      <c r="C27" s="20">
        <v>31628</v>
      </c>
      <c r="D27" s="16" t="s">
        <v>150</v>
      </c>
      <c r="E27" s="30"/>
      <c r="F27" s="29"/>
      <c r="G27" s="40">
        <v>66.600072000000011</v>
      </c>
    </row>
    <row r="28" spans="1:7" hidden="1" x14ac:dyDescent="0.25">
      <c r="A28" s="34" t="s">
        <v>549</v>
      </c>
      <c r="B28" s="19" t="s">
        <v>413</v>
      </c>
      <c r="C28" s="16" t="s">
        <v>419</v>
      </c>
      <c r="D28" s="16" t="s">
        <v>420</v>
      </c>
      <c r="E28" s="30"/>
      <c r="F28" s="29"/>
      <c r="G28" s="40">
        <v>13.183631999999996</v>
      </c>
    </row>
    <row r="29" spans="1:7" hidden="1" x14ac:dyDescent="0.25">
      <c r="A29" s="34" t="s">
        <v>550</v>
      </c>
      <c r="B29" s="19" t="s">
        <v>165</v>
      </c>
      <c r="C29" s="16" t="s">
        <v>375</v>
      </c>
      <c r="D29" s="16" t="s">
        <v>166</v>
      </c>
      <c r="E29" s="30"/>
      <c r="F29" s="29"/>
      <c r="G29" s="40">
        <v>212.07463200000001</v>
      </c>
    </row>
    <row r="30" spans="1:7" hidden="1" x14ac:dyDescent="0.25">
      <c r="A30" s="34" t="s">
        <v>551</v>
      </c>
      <c r="B30" s="19" t="s">
        <v>165</v>
      </c>
      <c r="C30" s="16" t="s">
        <v>376</v>
      </c>
      <c r="D30" s="16" t="s">
        <v>296</v>
      </c>
      <c r="E30" s="30"/>
      <c r="F30" s="29"/>
      <c r="G30" s="40">
        <v>20.717135999999996</v>
      </c>
    </row>
    <row r="31" spans="1:7" hidden="1" x14ac:dyDescent="0.25">
      <c r="A31" s="34" t="s">
        <v>552</v>
      </c>
      <c r="B31" s="19" t="s">
        <v>165</v>
      </c>
      <c r="C31" s="16" t="s">
        <v>377</v>
      </c>
      <c r="D31" s="16" t="s">
        <v>167</v>
      </c>
      <c r="E31" s="30"/>
      <c r="F31" s="29"/>
      <c r="G31" s="40">
        <v>60.219324</v>
      </c>
    </row>
    <row r="32" spans="1:7" hidden="1" x14ac:dyDescent="0.25">
      <c r="A32" s="34" t="s">
        <v>553</v>
      </c>
      <c r="B32" s="19" t="s">
        <v>165</v>
      </c>
      <c r="C32" s="20">
        <v>3004</v>
      </c>
      <c r="D32" s="16" t="s">
        <v>168</v>
      </c>
      <c r="E32" s="30"/>
      <c r="F32" s="29"/>
      <c r="G32" s="40">
        <v>57.248135999999988</v>
      </c>
    </row>
    <row r="33" spans="1:7" hidden="1" x14ac:dyDescent="0.25">
      <c r="A33" s="34" t="s">
        <v>554</v>
      </c>
      <c r="B33" s="19" t="s">
        <v>165</v>
      </c>
      <c r="C33" s="16" t="s">
        <v>378</v>
      </c>
      <c r="D33" s="16" t="s">
        <v>169</v>
      </c>
      <c r="E33" s="30"/>
      <c r="F33" s="29"/>
      <c r="G33" s="40">
        <v>22.600511999999995</v>
      </c>
    </row>
    <row r="34" spans="1:7" hidden="1" x14ac:dyDescent="0.25">
      <c r="A34" s="34" t="s">
        <v>555</v>
      </c>
      <c r="B34" s="19" t="s">
        <v>165</v>
      </c>
      <c r="C34" s="16" t="s">
        <v>379</v>
      </c>
      <c r="D34" s="16" t="s">
        <v>170</v>
      </c>
      <c r="E34" s="30"/>
      <c r="F34" s="29"/>
      <c r="G34" s="40">
        <v>117.857124</v>
      </c>
    </row>
    <row r="35" spans="1:7" hidden="1" x14ac:dyDescent="0.25">
      <c r="A35" s="34" t="s">
        <v>556</v>
      </c>
      <c r="B35" s="19" t="s">
        <v>165</v>
      </c>
      <c r="C35" s="20">
        <v>116</v>
      </c>
      <c r="D35" s="16" t="s">
        <v>171</v>
      </c>
      <c r="E35" s="30"/>
      <c r="F35" s="29"/>
      <c r="G35" s="40">
        <v>112.450536</v>
      </c>
    </row>
    <row r="36" spans="1:7" hidden="1" x14ac:dyDescent="0.25">
      <c r="A36" s="34" t="s">
        <v>557</v>
      </c>
      <c r="B36" s="19" t="s">
        <v>165</v>
      </c>
      <c r="C36" s="16" t="s">
        <v>380</v>
      </c>
      <c r="D36" s="16" t="s">
        <v>172</v>
      </c>
      <c r="E36" s="30"/>
      <c r="F36" s="29"/>
      <c r="G36" s="40">
        <v>198.452628</v>
      </c>
    </row>
    <row r="37" spans="1:7" hidden="1" x14ac:dyDescent="0.25">
      <c r="A37" s="34" t="s">
        <v>558</v>
      </c>
      <c r="B37" s="19" t="s">
        <v>165</v>
      </c>
      <c r="C37" s="16" t="s">
        <v>381</v>
      </c>
      <c r="D37" s="16" t="s">
        <v>173</v>
      </c>
      <c r="E37" s="30"/>
      <c r="F37" s="29"/>
      <c r="G37" s="40">
        <v>41.547923999999995</v>
      </c>
    </row>
    <row r="38" spans="1:7" hidden="1" x14ac:dyDescent="0.25">
      <c r="A38" s="34" t="s">
        <v>559</v>
      </c>
      <c r="B38" s="19" t="s">
        <v>165</v>
      </c>
      <c r="C38" s="16" t="s">
        <v>382</v>
      </c>
      <c r="D38" s="16" t="s">
        <v>174</v>
      </c>
      <c r="E38" s="30"/>
      <c r="F38" s="29"/>
      <c r="G38" s="40">
        <v>16.690607999999997</v>
      </c>
    </row>
    <row r="39" spans="1:7" hidden="1" x14ac:dyDescent="0.25">
      <c r="A39" s="34" t="s">
        <v>560</v>
      </c>
      <c r="B39" s="19" t="s">
        <v>165</v>
      </c>
      <c r="C39" s="20">
        <v>562227</v>
      </c>
      <c r="D39" s="16" t="s">
        <v>175</v>
      </c>
      <c r="E39" s="30"/>
      <c r="F39" s="29"/>
      <c r="G39" s="40">
        <v>9.9689040000000002</v>
      </c>
    </row>
    <row r="40" spans="1:7" hidden="1" x14ac:dyDescent="0.25">
      <c r="A40" s="34" t="s">
        <v>561</v>
      </c>
      <c r="B40" s="19" t="s">
        <v>165</v>
      </c>
      <c r="C40" s="20">
        <v>561683</v>
      </c>
      <c r="D40" s="16" t="s">
        <v>176</v>
      </c>
      <c r="E40" s="30"/>
      <c r="F40" s="29"/>
      <c r="G40" s="40">
        <v>13.134923999999998</v>
      </c>
    </row>
    <row r="41" spans="1:7" hidden="1" x14ac:dyDescent="0.25">
      <c r="A41" s="34" t="s">
        <v>562</v>
      </c>
      <c r="B41" s="19" t="s">
        <v>165</v>
      </c>
      <c r="C41" s="16" t="s">
        <v>383</v>
      </c>
      <c r="D41" s="16" t="s">
        <v>177</v>
      </c>
      <c r="E41" s="30"/>
      <c r="F41" s="29"/>
      <c r="G41" s="40">
        <v>8.9460359999999994</v>
      </c>
    </row>
    <row r="42" spans="1:7" hidden="1" x14ac:dyDescent="0.25">
      <c r="A42" s="34" t="s">
        <v>563</v>
      </c>
      <c r="B42" s="19" t="s">
        <v>165</v>
      </c>
      <c r="C42" s="20">
        <v>631</v>
      </c>
      <c r="D42" s="16" t="s">
        <v>178</v>
      </c>
      <c r="E42" s="30"/>
      <c r="F42" s="29"/>
      <c r="G42" s="40">
        <v>11.527559999999998</v>
      </c>
    </row>
    <row r="43" spans="1:7" hidden="1" x14ac:dyDescent="0.25">
      <c r="A43" s="34" t="s">
        <v>564</v>
      </c>
      <c r="B43" s="19" t="s">
        <v>165</v>
      </c>
      <c r="C43" s="20">
        <v>513526</v>
      </c>
      <c r="D43" s="16" t="s">
        <v>179</v>
      </c>
      <c r="E43" s="30"/>
      <c r="F43" s="29"/>
      <c r="G43" s="40">
        <v>1.087812</v>
      </c>
    </row>
    <row r="44" spans="1:7" hidden="1" x14ac:dyDescent="0.25">
      <c r="A44" s="34" t="s">
        <v>565</v>
      </c>
      <c r="B44" s="19" t="s">
        <v>165</v>
      </c>
      <c r="C44" s="16" t="s">
        <v>384</v>
      </c>
      <c r="D44" s="16" t="s">
        <v>180</v>
      </c>
      <c r="E44" s="30"/>
      <c r="F44" s="29"/>
      <c r="G44" s="40">
        <v>20.522304000000002</v>
      </c>
    </row>
    <row r="45" spans="1:7" hidden="1" x14ac:dyDescent="0.25">
      <c r="A45" s="34" t="s">
        <v>566</v>
      </c>
      <c r="B45" s="19" t="s">
        <v>165</v>
      </c>
      <c r="C45" s="20">
        <v>530318</v>
      </c>
      <c r="D45" s="16" t="s">
        <v>181</v>
      </c>
      <c r="E45" s="30"/>
      <c r="F45" s="29"/>
      <c r="G45" s="40">
        <v>25.636644</v>
      </c>
    </row>
    <row r="46" spans="1:7" hidden="1" x14ac:dyDescent="0.25">
      <c r="A46" s="34" t="s">
        <v>567</v>
      </c>
      <c r="B46" s="19" t="s">
        <v>165</v>
      </c>
      <c r="C46" s="16" t="s">
        <v>385</v>
      </c>
      <c r="D46" s="16" t="s">
        <v>182</v>
      </c>
      <c r="E46" s="30"/>
      <c r="F46" s="29"/>
      <c r="G46" s="40">
        <v>66.064283999999986</v>
      </c>
    </row>
    <row r="47" spans="1:7" hidden="1" x14ac:dyDescent="0.25">
      <c r="A47" s="34" t="s">
        <v>568</v>
      </c>
      <c r="B47" s="19" t="s">
        <v>165</v>
      </c>
      <c r="C47" s="16" t="s">
        <v>386</v>
      </c>
      <c r="D47" s="16" t="s">
        <v>183</v>
      </c>
      <c r="E47" s="30"/>
      <c r="F47" s="29"/>
      <c r="G47" s="40">
        <v>77.640551999999985</v>
      </c>
    </row>
    <row r="48" spans="1:7" hidden="1" x14ac:dyDescent="0.25">
      <c r="A48" s="34" t="s">
        <v>569</v>
      </c>
      <c r="B48" s="19" t="s">
        <v>165</v>
      </c>
      <c r="C48" s="16" t="s">
        <v>387</v>
      </c>
      <c r="D48" s="16" t="s">
        <v>184</v>
      </c>
      <c r="E48" s="30"/>
      <c r="F48" s="29"/>
      <c r="G48" s="40">
        <v>197.55964800000001</v>
      </c>
    </row>
    <row r="49" spans="1:7" hidden="1" x14ac:dyDescent="0.25">
      <c r="A49" s="34" t="s">
        <v>570</v>
      </c>
      <c r="B49" s="19" t="s">
        <v>422</v>
      </c>
      <c r="C49" s="20">
        <v>78310700</v>
      </c>
      <c r="D49" s="16" t="s">
        <v>286</v>
      </c>
      <c r="E49" s="30"/>
      <c r="F49" s="29"/>
      <c r="G49" s="40">
        <v>41.385564000000002</v>
      </c>
    </row>
    <row r="50" spans="1:7" hidden="1" x14ac:dyDescent="0.25">
      <c r="A50" s="34" t="s">
        <v>571</v>
      </c>
      <c r="B50" s="19" t="s">
        <v>422</v>
      </c>
      <c r="C50" s="20">
        <v>4600500103</v>
      </c>
      <c r="D50" s="16" t="s">
        <v>294</v>
      </c>
      <c r="E50" s="30"/>
      <c r="F50" s="29"/>
      <c r="G50" s="40">
        <v>3.0198960000000001</v>
      </c>
    </row>
    <row r="51" spans="1:7" hidden="1" x14ac:dyDescent="0.25">
      <c r="A51" s="34" t="s">
        <v>572</v>
      </c>
      <c r="B51" s="19" t="s">
        <v>422</v>
      </c>
      <c r="C51" s="20">
        <v>4600750103</v>
      </c>
      <c r="D51" s="16" t="s">
        <v>295</v>
      </c>
      <c r="E51" s="30"/>
      <c r="F51" s="29"/>
      <c r="G51" s="40">
        <v>3.2309640000000002</v>
      </c>
    </row>
    <row r="52" spans="1:7" hidden="1" x14ac:dyDescent="0.25">
      <c r="A52" s="34" t="s">
        <v>573</v>
      </c>
      <c r="B52" s="19" t="s">
        <v>422</v>
      </c>
      <c r="C52" s="20">
        <v>4601000103</v>
      </c>
      <c r="D52" s="16" t="s">
        <v>287</v>
      </c>
      <c r="E52" s="30"/>
      <c r="F52" s="29"/>
      <c r="G52" s="40">
        <v>4.7896200000000002</v>
      </c>
    </row>
    <row r="53" spans="1:7" hidden="1" x14ac:dyDescent="0.25">
      <c r="A53" s="34" t="s">
        <v>574</v>
      </c>
      <c r="B53" s="19" t="s">
        <v>422</v>
      </c>
      <c r="C53" s="16" t="s">
        <v>423</v>
      </c>
      <c r="D53" s="16" t="s">
        <v>288</v>
      </c>
      <c r="E53" s="30"/>
      <c r="F53" s="29"/>
      <c r="G53" s="40">
        <v>8.8648559999999996</v>
      </c>
    </row>
    <row r="54" spans="1:7" hidden="1" x14ac:dyDescent="0.25">
      <c r="A54" s="34" t="s">
        <v>575</v>
      </c>
      <c r="B54" s="19" t="s">
        <v>422</v>
      </c>
      <c r="C54" s="16" t="s">
        <v>424</v>
      </c>
      <c r="D54" s="16" t="s">
        <v>289</v>
      </c>
      <c r="E54" s="30"/>
      <c r="F54" s="29"/>
      <c r="G54" s="40">
        <v>10.066319999999999</v>
      </c>
    </row>
    <row r="55" spans="1:7" hidden="1" x14ac:dyDescent="0.25">
      <c r="A55" s="34" t="s">
        <v>576</v>
      </c>
      <c r="B55" s="19" t="s">
        <v>422</v>
      </c>
      <c r="C55" s="16" t="s">
        <v>425</v>
      </c>
      <c r="D55" s="16" t="s">
        <v>290</v>
      </c>
      <c r="E55" s="30"/>
      <c r="F55" s="29"/>
      <c r="G55" s="40">
        <v>24.532595999999998</v>
      </c>
    </row>
    <row r="56" spans="1:7" hidden="1" x14ac:dyDescent="0.25">
      <c r="A56" s="34" t="s">
        <v>577</v>
      </c>
      <c r="B56" s="19" t="s">
        <v>422</v>
      </c>
      <c r="C56" s="20">
        <v>10632802</v>
      </c>
      <c r="D56" s="16" t="s">
        <v>291</v>
      </c>
      <c r="E56" s="30"/>
      <c r="F56" s="29"/>
      <c r="G56" s="40">
        <v>430.25400000000002</v>
      </c>
    </row>
    <row r="57" spans="1:7" hidden="1" x14ac:dyDescent="0.25">
      <c r="A57" s="34" t="s">
        <v>578</v>
      </c>
      <c r="B57" s="16" t="s">
        <v>422</v>
      </c>
      <c r="C57" s="16" t="s">
        <v>426</v>
      </c>
      <c r="D57" s="16" t="s">
        <v>292</v>
      </c>
      <c r="E57" s="30"/>
      <c r="F57" s="29"/>
      <c r="G57" s="40">
        <v>166.435236</v>
      </c>
    </row>
    <row r="58" spans="1:7" hidden="1" x14ac:dyDescent="0.25">
      <c r="A58" s="34" t="s">
        <v>579</v>
      </c>
      <c r="B58" s="16" t="s">
        <v>422</v>
      </c>
      <c r="C58" s="16" t="s">
        <v>427</v>
      </c>
      <c r="D58" s="16" t="s">
        <v>293</v>
      </c>
      <c r="E58" s="30"/>
      <c r="F58" s="29"/>
      <c r="G58" s="40">
        <v>175.77093600000001</v>
      </c>
    </row>
    <row r="59" spans="1:7" hidden="1" x14ac:dyDescent="0.25">
      <c r="A59" s="34" t="s">
        <v>580</v>
      </c>
      <c r="B59" s="19" t="s">
        <v>57</v>
      </c>
      <c r="C59" s="20">
        <v>13342</v>
      </c>
      <c r="D59" s="16" t="s">
        <v>137</v>
      </c>
      <c r="E59" s="30"/>
      <c r="F59" s="29"/>
      <c r="G59" s="40">
        <v>41.482979999999998</v>
      </c>
    </row>
    <row r="60" spans="1:7" hidden="1" x14ac:dyDescent="0.25">
      <c r="A60" s="34" t="s">
        <v>581</v>
      </c>
      <c r="B60" s="19" t="s">
        <v>57</v>
      </c>
      <c r="C60" s="20">
        <v>13555</v>
      </c>
      <c r="D60" s="16" t="s">
        <v>133</v>
      </c>
      <c r="E60" s="30"/>
      <c r="F60" s="29"/>
      <c r="G60" s="40">
        <v>42.651972000000001</v>
      </c>
    </row>
    <row r="61" spans="1:7" hidden="1" x14ac:dyDescent="0.25">
      <c r="A61" s="34" t="s">
        <v>582</v>
      </c>
      <c r="B61" s="19" t="s">
        <v>57</v>
      </c>
      <c r="C61" s="20">
        <v>13575</v>
      </c>
      <c r="D61" s="16" t="s">
        <v>138</v>
      </c>
      <c r="E61" s="30"/>
      <c r="F61" s="29"/>
      <c r="G61" s="40">
        <v>32.764247999999995</v>
      </c>
    </row>
    <row r="62" spans="1:7" hidden="1" x14ac:dyDescent="0.25">
      <c r="A62" s="34" t="s">
        <v>583</v>
      </c>
      <c r="B62" s="19" t="s">
        <v>57</v>
      </c>
      <c r="C62" s="20">
        <v>13571</v>
      </c>
      <c r="D62" s="16" t="s">
        <v>139</v>
      </c>
      <c r="E62" s="30"/>
      <c r="F62" s="29"/>
      <c r="G62" s="40">
        <v>28.981259999999999</v>
      </c>
    </row>
    <row r="63" spans="1:7" hidden="1" x14ac:dyDescent="0.25">
      <c r="A63" s="34" t="s">
        <v>584</v>
      </c>
      <c r="B63" s="19" t="s">
        <v>57</v>
      </c>
      <c r="C63" s="20" t="s">
        <v>428</v>
      </c>
      <c r="D63" s="16" t="s">
        <v>58</v>
      </c>
      <c r="E63" s="30"/>
      <c r="F63" s="29"/>
      <c r="G63" s="40">
        <v>9.2707560000000004</v>
      </c>
    </row>
    <row r="64" spans="1:7" hidden="1" x14ac:dyDescent="0.25">
      <c r="A64" s="34" t="s">
        <v>585</v>
      </c>
      <c r="B64" s="19" t="s">
        <v>57</v>
      </c>
      <c r="C64" s="20" t="s">
        <v>429</v>
      </c>
      <c r="D64" s="16" t="s">
        <v>59</v>
      </c>
      <c r="E64" s="30"/>
      <c r="F64" s="29"/>
      <c r="G64" s="40">
        <v>28.770191999999994</v>
      </c>
    </row>
    <row r="65" spans="1:7" hidden="1" x14ac:dyDescent="0.25">
      <c r="A65" s="34" t="s">
        <v>586</v>
      </c>
      <c r="B65" s="19" t="s">
        <v>57</v>
      </c>
      <c r="C65" s="20" t="s">
        <v>430</v>
      </c>
      <c r="D65" s="16" t="s">
        <v>76</v>
      </c>
      <c r="E65" s="30"/>
      <c r="F65" s="29"/>
      <c r="G65" s="40">
        <v>27.584963999999996</v>
      </c>
    </row>
    <row r="66" spans="1:7" hidden="1" x14ac:dyDescent="0.25">
      <c r="A66" s="34" t="s">
        <v>587</v>
      </c>
      <c r="B66" s="19" t="s">
        <v>57</v>
      </c>
      <c r="C66" s="20" t="s">
        <v>431</v>
      </c>
      <c r="D66" s="16" t="s">
        <v>69</v>
      </c>
      <c r="E66" s="30"/>
      <c r="F66" s="29"/>
      <c r="G66" s="40">
        <v>30.832163999999995</v>
      </c>
    </row>
    <row r="67" spans="1:7" hidden="1" x14ac:dyDescent="0.25">
      <c r="A67" s="34" t="s">
        <v>588</v>
      </c>
      <c r="B67" s="19" t="s">
        <v>57</v>
      </c>
      <c r="C67" s="20">
        <v>47645</v>
      </c>
      <c r="D67" s="16" t="s">
        <v>106</v>
      </c>
      <c r="E67" s="30"/>
      <c r="F67" s="29"/>
      <c r="G67" s="40">
        <v>37.018079999999998</v>
      </c>
    </row>
    <row r="68" spans="1:7" hidden="1" x14ac:dyDescent="0.25">
      <c r="A68" s="34" t="s">
        <v>589</v>
      </c>
      <c r="B68" s="19" t="s">
        <v>57</v>
      </c>
      <c r="C68" s="20" t="s">
        <v>432</v>
      </c>
      <c r="D68" s="16" t="s">
        <v>87</v>
      </c>
      <c r="E68" s="30"/>
      <c r="F68" s="29"/>
      <c r="G68" s="40">
        <v>66.405239999999992</v>
      </c>
    </row>
    <row r="69" spans="1:7" hidden="1" x14ac:dyDescent="0.25">
      <c r="A69" s="34" t="s">
        <v>590</v>
      </c>
      <c r="B69" s="19" t="s">
        <v>57</v>
      </c>
      <c r="C69" s="20" t="s">
        <v>433</v>
      </c>
      <c r="D69" s="16" t="s">
        <v>117</v>
      </c>
      <c r="E69" s="30"/>
      <c r="F69" s="29"/>
      <c r="G69" s="40">
        <v>424.31162399999999</v>
      </c>
    </row>
    <row r="70" spans="1:7" hidden="1" x14ac:dyDescent="0.25">
      <c r="A70" s="34" t="s">
        <v>591</v>
      </c>
      <c r="B70" s="19" t="s">
        <v>57</v>
      </c>
      <c r="C70" s="20" t="s">
        <v>434</v>
      </c>
      <c r="D70" s="16" t="s">
        <v>124</v>
      </c>
      <c r="E70" s="30"/>
      <c r="F70" s="29"/>
      <c r="G70" s="40">
        <v>136.366164</v>
      </c>
    </row>
    <row r="71" spans="1:7" hidden="1" x14ac:dyDescent="0.25">
      <c r="A71" s="34" t="s">
        <v>592</v>
      </c>
      <c r="B71" s="19" t="s">
        <v>57</v>
      </c>
      <c r="C71" s="20" t="s">
        <v>435</v>
      </c>
      <c r="D71" s="16" t="s">
        <v>132</v>
      </c>
      <c r="E71" s="30"/>
      <c r="F71" s="29"/>
      <c r="G71" s="40">
        <v>324.70376399999998</v>
      </c>
    </row>
    <row r="72" spans="1:7" hidden="1" x14ac:dyDescent="0.25">
      <c r="A72" s="34" t="s">
        <v>593</v>
      </c>
      <c r="B72" s="19" t="s">
        <v>57</v>
      </c>
      <c r="C72" s="20" t="s">
        <v>436</v>
      </c>
      <c r="D72" s="16" t="s">
        <v>136</v>
      </c>
      <c r="E72" s="30"/>
      <c r="F72" s="29"/>
      <c r="G72" s="40">
        <v>251.20339199999995</v>
      </c>
    </row>
    <row r="73" spans="1:7" hidden="1" x14ac:dyDescent="0.25">
      <c r="A73" s="34" t="s">
        <v>594</v>
      </c>
      <c r="B73" s="19" t="s">
        <v>57</v>
      </c>
      <c r="C73" s="20" t="s">
        <v>437</v>
      </c>
      <c r="D73" s="16" t="s">
        <v>77</v>
      </c>
      <c r="E73" s="30"/>
      <c r="F73" s="29"/>
      <c r="G73" s="40">
        <v>368.08635599999997</v>
      </c>
    </row>
    <row r="74" spans="1:7" hidden="1" x14ac:dyDescent="0.25">
      <c r="A74" s="34" t="s">
        <v>595</v>
      </c>
      <c r="B74" s="19" t="s">
        <v>57</v>
      </c>
      <c r="C74" s="20" t="s">
        <v>438</v>
      </c>
      <c r="D74" s="16" t="s">
        <v>83</v>
      </c>
      <c r="E74" s="30"/>
      <c r="F74" s="29"/>
      <c r="G74" s="40">
        <v>590.74686000000008</v>
      </c>
    </row>
    <row r="75" spans="1:7" hidden="1" x14ac:dyDescent="0.25">
      <c r="A75" s="34" t="s">
        <v>596</v>
      </c>
      <c r="B75" s="19" t="s">
        <v>57</v>
      </c>
      <c r="C75" s="20" t="s">
        <v>439</v>
      </c>
      <c r="D75" s="16" t="s">
        <v>66</v>
      </c>
      <c r="E75" s="30"/>
      <c r="F75" s="29"/>
      <c r="G75" s="40">
        <v>54.325655999999995</v>
      </c>
    </row>
    <row r="76" spans="1:7" hidden="1" x14ac:dyDescent="0.25">
      <c r="A76" s="34" t="s">
        <v>597</v>
      </c>
      <c r="B76" s="19" t="s">
        <v>57</v>
      </c>
      <c r="C76" s="16" t="s">
        <v>440</v>
      </c>
      <c r="D76" s="16" t="s">
        <v>60</v>
      </c>
      <c r="E76" s="30"/>
      <c r="F76" s="29"/>
      <c r="G76" s="40">
        <v>17.372519999999998</v>
      </c>
    </row>
    <row r="77" spans="1:7" hidden="1" x14ac:dyDescent="0.25">
      <c r="A77" s="34" t="s">
        <v>598</v>
      </c>
      <c r="B77" s="19" t="s">
        <v>57</v>
      </c>
      <c r="C77" s="20" t="s">
        <v>441</v>
      </c>
      <c r="D77" s="16" t="s">
        <v>101</v>
      </c>
      <c r="E77" s="30"/>
      <c r="F77" s="29"/>
      <c r="G77" s="40">
        <v>60.511572000000001</v>
      </c>
    </row>
    <row r="78" spans="1:7" hidden="1" x14ac:dyDescent="0.25">
      <c r="A78" s="34" t="s">
        <v>599</v>
      </c>
      <c r="B78" s="19" t="s">
        <v>57</v>
      </c>
      <c r="C78" s="20">
        <v>4716</v>
      </c>
      <c r="D78" s="16" t="s">
        <v>108</v>
      </c>
      <c r="E78" s="30"/>
      <c r="F78" s="29"/>
      <c r="G78" s="40">
        <v>118.06819199999998</v>
      </c>
    </row>
    <row r="79" spans="1:7" hidden="1" x14ac:dyDescent="0.25">
      <c r="A79" s="34" t="s">
        <v>600</v>
      </c>
      <c r="B79" s="19" t="s">
        <v>57</v>
      </c>
      <c r="C79" s="20">
        <v>4717</v>
      </c>
      <c r="D79" s="16" t="s">
        <v>109</v>
      </c>
      <c r="E79" s="30"/>
      <c r="F79" s="29"/>
      <c r="G79" s="40">
        <v>125.81276399999999</v>
      </c>
    </row>
    <row r="80" spans="1:7" hidden="1" x14ac:dyDescent="0.25">
      <c r="A80" s="34" t="s">
        <v>601</v>
      </c>
      <c r="B80" s="19" t="s">
        <v>57</v>
      </c>
      <c r="C80" s="20">
        <v>263042</v>
      </c>
      <c r="D80" s="16" t="s">
        <v>100</v>
      </c>
      <c r="E80" s="30"/>
      <c r="F80" s="29"/>
      <c r="G80" s="40">
        <v>39.583367999999993</v>
      </c>
    </row>
    <row r="81" spans="1:7" hidden="1" x14ac:dyDescent="0.25">
      <c r="A81" s="34" t="s">
        <v>602</v>
      </c>
      <c r="B81" s="19" t="s">
        <v>57</v>
      </c>
      <c r="C81" s="20">
        <v>263060</v>
      </c>
      <c r="D81" s="16" t="s">
        <v>86</v>
      </c>
      <c r="E81" s="30"/>
      <c r="F81" s="29"/>
      <c r="G81" s="40">
        <v>139.07757599999997</v>
      </c>
    </row>
    <row r="82" spans="1:7" hidden="1" x14ac:dyDescent="0.25">
      <c r="A82" s="34" t="s">
        <v>603</v>
      </c>
      <c r="B82" s="19" t="s">
        <v>57</v>
      </c>
      <c r="C82" s="16" t="s">
        <v>442</v>
      </c>
      <c r="D82" s="16" t="s">
        <v>73</v>
      </c>
      <c r="E82" s="30"/>
      <c r="F82" s="29"/>
      <c r="G82" s="40">
        <v>0.89298000000000011</v>
      </c>
    </row>
    <row r="83" spans="1:7" hidden="1" x14ac:dyDescent="0.25">
      <c r="A83" s="34" t="s">
        <v>604</v>
      </c>
      <c r="B83" s="19" t="s">
        <v>57</v>
      </c>
      <c r="C83" s="16" t="s">
        <v>443</v>
      </c>
      <c r="D83" s="16" t="s">
        <v>71</v>
      </c>
      <c r="E83" s="30"/>
      <c r="F83" s="29"/>
      <c r="G83" s="40">
        <v>1.1527559999999999</v>
      </c>
    </row>
    <row r="84" spans="1:7" hidden="1" x14ac:dyDescent="0.25">
      <c r="A84" s="34" t="s">
        <v>605</v>
      </c>
      <c r="B84" s="19" t="s">
        <v>57</v>
      </c>
      <c r="C84" s="16" t="s">
        <v>444</v>
      </c>
      <c r="D84" s="16" t="s">
        <v>74</v>
      </c>
      <c r="E84" s="30"/>
      <c r="F84" s="29"/>
      <c r="G84" s="40">
        <v>1.3313519999999999</v>
      </c>
    </row>
    <row r="85" spans="1:7" hidden="1" x14ac:dyDescent="0.25">
      <c r="A85" s="34" t="s">
        <v>606</v>
      </c>
      <c r="B85" s="19" t="s">
        <v>57</v>
      </c>
      <c r="C85" s="16" t="s">
        <v>445</v>
      </c>
      <c r="D85" s="16" t="s">
        <v>70</v>
      </c>
      <c r="E85" s="30"/>
      <c r="F85" s="29"/>
      <c r="G85" s="40">
        <v>1.5261839999999998</v>
      </c>
    </row>
    <row r="86" spans="1:7" hidden="1" x14ac:dyDescent="0.25">
      <c r="A86" s="34" t="s">
        <v>607</v>
      </c>
      <c r="B86" s="19" t="s">
        <v>57</v>
      </c>
      <c r="C86" s="16" t="s">
        <v>446</v>
      </c>
      <c r="D86" s="16" t="s">
        <v>75</v>
      </c>
      <c r="E86" s="30"/>
      <c r="F86" s="29"/>
      <c r="G86" s="40">
        <v>1.1040480000000001</v>
      </c>
    </row>
    <row r="87" spans="1:7" hidden="1" x14ac:dyDescent="0.25">
      <c r="A87" s="34" t="s">
        <v>608</v>
      </c>
      <c r="B87" s="19" t="s">
        <v>57</v>
      </c>
      <c r="C87" s="16" t="s">
        <v>447</v>
      </c>
      <c r="D87" s="16" t="s">
        <v>72</v>
      </c>
      <c r="E87" s="30"/>
      <c r="F87" s="29"/>
      <c r="G87" s="40">
        <v>0.94168799999999986</v>
      </c>
    </row>
    <row r="88" spans="1:7" hidden="1" x14ac:dyDescent="0.25">
      <c r="A88" s="34" t="s">
        <v>609</v>
      </c>
      <c r="B88" s="19" t="s">
        <v>57</v>
      </c>
      <c r="C88" s="16" t="s">
        <v>448</v>
      </c>
      <c r="D88" s="16" t="s">
        <v>62</v>
      </c>
      <c r="E88" s="30"/>
      <c r="F88" s="29"/>
      <c r="G88" s="40">
        <v>1.1040480000000001</v>
      </c>
    </row>
    <row r="89" spans="1:7" hidden="1" x14ac:dyDescent="0.25">
      <c r="A89" s="34" t="s">
        <v>610</v>
      </c>
      <c r="B89" s="19" t="s">
        <v>57</v>
      </c>
      <c r="C89" s="16" t="s">
        <v>449</v>
      </c>
      <c r="D89" s="16" t="s">
        <v>63</v>
      </c>
      <c r="E89" s="30"/>
      <c r="F89" s="29"/>
      <c r="G89" s="40">
        <v>2.8900079999999999</v>
      </c>
    </row>
    <row r="90" spans="1:7" hidden="1" x14ac:dyDescent="0.25">
      <c r="A90" s="34" t="s">
        <v>611</v>
      </c>
      <c r="B90" s="19" t="s">
        <v>57</v>
      </c>
      <c r="C90" s="16" t="s">
        <v>450</v>
      </c>
      <c r="D90" s="16" t="s">
        <v>61</v>
      </c>
      <c r="E90" s="30"/>
      <c r="F90" s="29"/>
      <c r="G90" s="40">
        <v>3.0686039999999997</v>
      </c>
    </row>
    <row r="91" spans="1:7" hidden="1" x14ac:dyDescent="0.25">
      <c r="A91" s="34" t="s">
        <v>612</v>
      </c>
      <c r="B91" s="19" t="s">
        <v>57</v>
      </c>
      <c r="C91" s="16" t="s">
        <v>451</v>
      </c>
      <c r="D91" s="16" t="s">
        <v>65</v>
      </c>
      <c r="E91" s="30"/>
      <c r="F91" s="29"/>
      <c r="G91" s="40">
        <v>1.688544</v>
      </c>
    </row>
    <row r="92" spans="1:7" hidden="1" x14ac:dyDescent="0.25">
      <c r="A92" s="34" t="s">
        <v>613</v>
      </c>
      <c r="B92" s="19" t="s">
        <v>57</v>
      </c>
      <c r="C92" s="16" t="s">
        <v>452</v>
      </c>
      <c r="D92" s="16" t="s">
        <v>68</v>
      </c>
      <c r="E92" s="30"/>
      <c r="F92" s="29"/>
      <c r="G92" s="40">
        <v>1.5424199999999999</v>
      </c>
    </row>
    <row r="93" spans="1:7" hidden="1" x14ac:dyDescent="0.25">
      <c r="A93" s="34" t="s">
        <v>614</v>
      </c>
      <c r="B93" s="19" t="s">
        <v>57</v>
      </c>
      <c r="C93" s="20">
        <v>435015</v>
      </c>
      <c r="D93" s="16" t="s">
        <v>64</v>
      </c>
      <c r="E93" s="30"/>
      <c r="F93" s="29"/>
      <c r="G93" s="40">
        <v>1.7372519999999998</v>
      </c>
    </row>
    <row r="94" spans="1:7" hidden="1" x14ac:dyDescent="0.25">
      <c r="A94" s="34" t="s">
        <v>615</v>
      </c>
      <c r="B94" s="19" t="s">
        <v>57</v>
      </c>
      <c r="C94" s="20" t="s">
        <v>453</v>
      </c>
      <c r="D94" s="16" t="s">
        <v>616</v>
      </c>
      <c r="E94" s="30"/>
      <c r="F94" s="29"/>
      <c r="G94" s="40">
        <v>4.1726519999999994</v>
      </c>
    </row>
    <row r="95" spans="1:7" hidden="1" x14ac:dyDescent="0.25">
      <c r="A95" s="34" t="s">
        <v>617</v>
      </c>
      <c r="B95" s="19" t="s">
        <v>57</v>
      </c>
      <c r="C95" s="20">
        <v>438209</v>
      </c>
      <c r="D95" s="16" t="s">
        <v>67</v>
      </c>
      <c r="E95" s="30"/>
      <c r="F95" s="29"/>
      <c r="G95" s="40">
        <v>3.3770880000000001</v>
      </c>
    </row>
    <row r="96" spans="1:7" hidden="1" x14ac:dyDescent="0.25">
      <c r="A96" s="34" t="s">
        <v>618</v>
      </c>
      <c r="B96" s="19" t="s">
        <v>57</v>
      </c>
      <c r="C96" s="20" t="s">
        <v>454</v>
      </c>
      <c r="D96" s="16" t="s">
        <v>92</v>
      </c>
      <c r="E96" s="30"/>
      <c r="F96" s="29"/>
      <c r="G96" s="40">
        <v>2.743884</v>
      </c>
    </row>
    <row r="97" spans="1:7" hidden="1" x14ac:dyDescent="0.25">
      <c r="A97" s="34" t="s">
        <v>619</v>
      </c>
      <c r="B97" s="19" t="s">
        <v>57</v>
      </c>
      <c r="C97" s="20" t="s">
        <v>455</v>
      </c>
      <c r="D97" s="16" t="s">
        <v>105</v>
      </c>
      <c r="E97" s="30"/>
      <c r="F97" s="29"/>
      <c r="G97" s="40">
        <v>2.7601199999999997</v>
      </c>
    </row>
    <row r="98" spans="1:7" hidden="1" x14ac:dyDescent="0.25">
      <c r="A98" s="34" t="s">
        <v>620</v>
      </c>
      <c r="B98" s="19" t="s">
        <v>57</v>
      </c>
      <c r="C98" s="20" t="s">
        <v>456</v>
      </c>
      <c r="D98" s="16" t="s">
        <v>95</v>
      </c>
      <c r="E98" s="30"/>
      <c r="F98" s="29"/>
      <c r="G98" s="40">
        <v>1.6723080000000001</v>
      </c>
    </row>
    <row r="99" spans="1:7" hidden="1" x14ac:dyDescent="0.25">
      <c r="A99" s="34" t="s">
        <v>621</v>
      </c>
      <c r="B99" s="19" t="s">
        <v>57</v>
      </c>
      <c r="C99" s="20" t="s">
        <v>457</v>
      </c>
      <c r="D99" s="16" t="s">
        <v>96</v>
      </c>
      <c r="E99" s="30"/>
      <c r="F99" s="29"/>
      <c r="G99" s="40">
        <v>3.4582679999999995</v>
      </c>
    </row>
    <row r="100" spans="1:7" hidden="1" x14ac:dyDescent="0.25">
      <c r="A100" s="34" t="s">
        <v>622</v>
      </c>
      <c r="B100" s="19" t="s">
        <v>57</v>
      </c>
      <c r="C100" s="20" t="s">
        <v>458</v>
      </c>
      <c r="D100" s="16" t="s">
        <v>104</v>
      </c>
      <c r="E100" s="30"/>
      <c r="F100" s="29"/>
      <c r="G100" s="40">
        <v>2.0619719999999999</v>
      </c>
    </row>
    <row r="101" spans="1:7" hidden="1" x14ac:dyDescent="0.25">
      <c r="A101" s="34" t="s">
        <v>623</v>
      </c>
      <c r="B101" s="19" t="s">
        <v>57</v>
      </c>
      <c r="C101" s="20" t="s">
        <v>459</v>
      </c>
      <c r="D101" s="16" t="s">
        <v>624</v>
      </c>
      <c r="E101" s="30"/>
      <c r="F101" s="29"/>
      <c r="G101" s="40">
        <v>4.1077079999999997</v>
      </c>
    </row>
    <row r="102" spans="1:7" hidden="1" x14ac:dyDescent="0.25">
      <c r="A102" s="34" t="s">
        <v>625</v>
      </c>
      <c r="B102" s="19" t="s">
        <v>57</v>
      </c>
      <c r="C102" s="20" t="s">
        <v>460</v>
      </c>
      <c r="D102" s="16" t="s">
        <v>94</v>
      </c>
      <c r="E102" s="30"/>
      <c r="F102" s="29"/>
      <c r="G102" s="40">
        <v>1.7697240000000001</v>
      </c>
    </row>
    <row r="103" spans="1:7" hidden="1" x14ac:dyDescent="0.25">
      <c r="A103" s="34" t="s">
        <v>626</v>
      </c>
      <c r="B103" s="19" t="s">
        <v>57</v>
      </c>
      <c r="C103" s="20">
        <v>435020</v>
      </c>
      <c r="D103" s="16" t="s">
        <v>97</v>
      </c>
      <c r="E103" s="30"/>
      <c r="F103" s="29"/>
      <c r="G103" s="40">
        <v>2.2405679999999997</v>
      </c>
    </row>
    <row r="104" spans="1:7" hidden="1" x14ac:dyDescent="0.25">
      <c r="A104" s="34" t="s">
        <v>627</v>
      </c>
      <c r="B104" s="19" t="s">
        <v>57</v>
      </c>
      <c r="C104" s="20">
        <v>450020</v>
      </c>
      <c r="D104" s="16" t="s">
        <v>90</v>
      </c>
      <c r="E104" s="30"/>
      <c r="F104" s="29"/>
      <c r="G104" s="40">
        <v>5.3903519999999991</v>
      </c>
    </row>
    <row r="105" spans="1:7" hidden="1" x14ac:dyDescent="0.25">
      <c r="A105" s="34" t="s">
        <v>628</v>
      </c>
      <c r="B105" s="19" t="s">
        <v>57</v>
      </c>
      <c r="C105" s="20">
        <v>439251</v>
      </c>
      <c r="D105" s="16" t="s">
        <v>103</v>
      </c>
      <c r="E105" s="30"/>
      <c r="F105" s="29"/>
      <c r="G105" s="40">
        <v>4.5298439999999998</v>
      </c>
    </row>
    <row r="106" spans="1:7" hidden="1" x14ac:dyDescent="0.25">
      <c r="A106" s="34" t="s">
        <v>629</v>
      </c>
      <c r="B106" s="19" t="s">
        <v>57</v>
      </c>
      <c r="C106" s="20">
        <v>457020</v>
      </c>
      <c r="D106" s="16" t="s">
        <v>99</v>
      </c>
      <c r="E106" s="30"/>
      <c r="F106" s="29"/>
      <c r="G106" s="40">
        <v>30.880871999999997</v>
      </c>
    </row>
    <row r="107" spans="1:7" hidden="1" x14ac:dyDescent="0.25">
      <c r="A107" s="34" t="s">
        <v>630</v>
      </c>
      <c r="B107" s="19" t="s">
        <v>57</v>
      </c>
      <c r="C107" s="20">
        <v>437247</v>
      </c>
      <c r="D107" s="16" t="s">
        <v>102</v>
      </c>
      <c r="E107" s="30"/>
      <c r="F107" s="29"/>
      <c r="G107" s="40">
        <v>2.7601199999999997</v>
      </c>
    </row>
    <row r="108" spans="1:7" hidden="1" x14ac:dyDescent="0.25">
      <c r="A108" s="34" t="s">
        <v>631</v>
      </c>
      <c r="B108" s="19" t="s">
        <v>57</v>
      </c>
      <c r="C108" s="20" t="s">
        <v>461</v>
      </c>
      <c r="D108" s="16" t="s">
        <v>107</v>
      </c>
      <c r="E108" s="30"/>
      <c r="F108" s="29"/>
      <c r="G108" s="40">
        <v>2.7601199999999997</v>
      </c>
    </row>
    <row r="109" spans="1:7" hidden="1" x14ac:dyDescent="0.25">
      <c r="A109" s="34" t="s">
        <v>632</v>
      </c>
      <c r="B109" s="19" t="s">
        <v>57</v>
      </c>
      <c r="C109" s="20">
        <v>448020</v>
      </c>
      <c r="D109" s="16" t="s">
        <v>88</v>
      </c>
      <c r="E109" s="30"/>
      <c r="F109" s="29"/>
      <c r="G109" s="40">
        <v>5.6663640000000006</v>
      </c>
    </row>
    <row r="110" spans="1:7" hidden="1" x14ac:dyDescent="0.25">
      <c r="A110" s="34" t="s">
        <v>633</v>
      </c>
      <c r="B110" s="19" t="s">
        <v>57</v>
      </c>
      <c r="C110" s="16" t="s">
        <v>462</v>
      </c>
      <c r="D110" s="16" t="s">
        <v>98</v>
      </c>
      <c r="E110" s="30"/>
      <c r="F110" s="29"/>
      <c r="G110" s="40">
        <v>2.1918600000000001</v>
      </c>
    </row>
    <row r="111" spans="1:7" hidden="1" x14ac:dyDescent="0.25">
      <c r="A111" s="34" t="s">
        <v>634</v>
      </c>
      <c r="B111" s="19" t="s">
        <v>57</v>
      </c>
      <c r="C111" s="20">
        <v>430020</v>
      </c>
      <c r="D111" s="16" t="s">
        <v>89</v>
      </c>
      <c r="E111" s="30"/>
      <c r="F111" s="29"/>
      <c r="G111" s="40">
        <v>16.365887999999998</v>
      </c>
    </row>
    <row r="112" spans="1:7" hidden="1" x14ac:dyDescent="0.25">
      <c r="A112" s="34" t="s">
        <v>635</v>
      </c>
      <c r="B112" s="19" t="s">
        <v>57</v>
      </c>
      <c r="C112" s="20" t="s">
        <v>463</v>
      </c>
      <c r="D112" s="16" t="s">
        <v>91</v>
      </c>
      <c r="E112" s="30"/>
      <c r="F112" s="29"/>
      <c r="G112" s="40">
        <v>3.2796719999999997</v>
      </c>
    </row>
    <row r="113" spans="1:7" hidden="1" x14ac:dyDescent="0.25">
      <c r="A113" s="34" t="s">
        <v>636</v>
      </c>
      <c r="B113" s="19" t="s">
        <v>57</v>
      </c>
      <c r="C113" s="20" t="s">
        <v>464</v>
      </c>
      <c r="D113" s="16" t="s">
        <v>93</v>
      </c>
      <c r="E113" s="30"/>
      <c r="F113" s="29"/>
      <c r="G113" s="40">
        <v>4.8383279999999997</v>
      </c>
    </row>
    <row r="114" spans="1:7" hidden="1" x14ac:dyDescent="0.25">
      <c r="A114" s="34" t="s">
        <v>637</v>
      </c>
      <c r="B114" s="19" t="s">
        <v>57</v>
      </c>
      <c r="C114" s="20">
        <v>429025</v>
      </c>
      <c r="D114" s="16" t="s">
        <v>638</v>
      </c>
      <c r="E114" s="30"/>
      <c r="F114" s="29"/>
      <c r="G114" s="40">
        <v>4.5460799999999999</v>
      </c>
    </row>
    <row r="115" spans="1:7" hidden="1" x14ac:dyDescent="0.25">
      <c r="A115" s="34" t="s">
        <v>639</v>
      </c>
      <c r="B115" s="19" t="s">
        <v>57</v>
      </c>
      <c r="C115" s="20">
        <v>406025</v>
      </c>
      <c r="D115" s="16" t="s">
        <v>640</v>
      </c>
      <c r="E115" s="30"/>
      <c r="F115" s="29"/>
      <c r="G115" s="40">
        <v>9.7903080000000013</v>
      </c>
    </row>
    <row r="116" spans="1:7" hidden="1" x14ac:dyDescent="0.25">
      <c r="A116" s="34" t="s">
        <v>641</v>
      </c>
      <c r="B116" s="19" t="s">
        <v>57</v>
      </c>
      <c r="C116" s="20">
        <v>447025</v>
      </c>
      <c r="D116" s="16" t="s">
        <v>642</v>
      </c>
      <c r="E116" s="30"/>
      <c r="F116" s="29"/>
      <c r="G116" s="40">
        <v>5.6338920000000003</v>
      </c>
    </row>
    <row r="117" spans="1:7" hidden="1" x14ac:dyDescent="0.25">
      <c r="A117" s="34" t="s">
        <v>643</v>
      </c>
      <c r="B117" s="19" t="s">
        <v>57</v>
      </c>
      <c r="C117" s="20">
        <v>406030</v>
      </c>
      <c r="D117" s="16" t="s">
        <v>112</v>
      </c>
      <c r="E117" s="30"/>
      <c r="F117" s="29"/>
      <c r="G117" s="40">
        <v>11.024243999999999</v>
      </c>
    </row>
    <row r="118" spans="1:7" hidden="1" x14ac:dyDescent="0.25">
      <c r="A118" s="34" t="s">
        <v>644</v>
      </c>
      <c r="B118" s="19" t="s">
        <v>57</v>
      </c>
      <c r="C118" s="20">
        <v>437338</v>
      </c>
      <c r="D118" s="16" t="s">
        <v>116</v>
      </c>
      <c r="E118" s="30"/>
      <c r="F118" s="29"/>
      <c r="G118" s="40">
        <v>6.6405240000000001</v>
      </c>
    </row>
    <row r="119" spans="1:7" hidden="1" x14ac:dyDescent="0.25">
      <c r="A119" s="34" t="s">
        <v>645</v>
      </c>
      <c r="B119" s="19" t="s">
        <v>57</v>
      </c>
      <c r="C119" s="20">
        <v>429030</v>
      </c>
      <c r="D119" s="16" t="s">
        <v>113</v>
      </c>
      <c r="E119" s="30"/>
      <c r="F119" s="29"/>
      <c r="G119" s="40">
        <v>7.0788960000000003</v>
      </c>
    </row>
    <row r="120" spans="1:7" hidden="1" x14ac:dyDescent="0.25">
      <c r="A120" s="34" t="s">
        <v>646</v>
      </c>
      <c r="B120" s="19" t="s">
        <v>57</v>
      </c>
      <c r="C120" s="20">
        <v>401030</v>
      </c>
      <c r="D120" s="16" t="s">
        <v>114</v>
      </c>
      <c r="E120" s="30"/>
      <c r="F120" s="29"/>
      <c r="G120" s="40">
        <v>20.002752000000001</v>
      </c>
    </row>
    <row r="121" spans="1:7" hidden="1" x14ac:dyDescent="0.25">
      <c r="A121" s="34" t="s">
        <v>647</v>
      </c>
      <c r="B121" s="19" t="s">
        <v>57</v>
      </c>
      <c r="C121" s="20">
        <v>437339</v>
      </c>
      <c r="D121" s="16" t="s">
        <v>115</v>
      </c>
      <c r="E121" s="30"/>
      <c r="F121" s="29"/>
      <c r="G121" s="40">
        <v>6.6405240000000001</v>
      </c>
    </row>
    <row r="122" spans="1:7" hidden="1" x14ac:dyDescent="0.25">
      <c r="A122" s="34" t="s">
        <v>648</v>
      </c>
      <c r="B122" s="19" t="s">
        <v>57</v>
      </c>
      <c r="C122" s="20">
        <v>417030</v>
      </c>
      <c r="D122" s="16" t="s">
        <v>111</v>
      </c>
      <c r="E122" s="30"/>
      <c r="F122" s="29"/>
      <c r="G122" s="40">
        <v>16.528247999999998</v>
      </c>
    </row>
    <row r="123" spans="1:7" hidden="1" x14ac:dyDescent="0.25">
      <c r="A123" s="34" t="s">
        <v>649</v>
      </c>
      <c r="B123" s="19" t="s">
        <v>57</v>
      </c>
      <c r="C123" s="20">
        <v>447030</v>
      </c>
      <c r="D123" s="16" t="s">
        <v>110</v>
      </c>
      <c r="E123" s="30"/>
      <c r="F123" s="29"/>
      <c r="G123" s="40">
        <v>6.1047359999999991</v>
      </c>
    </row>
    <row r="124" spans="1:7" hidden="1" x14ac:dyDescent="0.25">
      <c r="A124" s="34" t="s">
        <v>650</v>
      </c>
      <c r="B124" s="19" t="s">
        <v>57</v>
      </c>
      <c r="C124" s="20">
        <v>401040</v>
      </c>
      <c r="D124" s="16" t="s">
        <v>122</v>
      </c>
      <c r="E124" s="30"/>
      <c r="F124" s="29"/>
      <c r="G124" s="40">
        <v>24.841079999999998</v>
      </c>
    </row>
    <row r="125" spans="1:7" hidden="1" x14ac:dyDescent="0.25">
      <c r="A125" s="34" t="s">
        <v>651</v>
      </c>
      <c r="B125" s="19" t="s">
        <v>57</v>
      </c>
      <c r="C125" s="20">
        <v>437422</v>
      </c>
      <c r="D125" s="16" t="s">
        <v>126</v>
      </c>
      <c r="E125" s="30"/>
      <c r="F125" s="29"/>
      <c r="G125" s="40">
        <v>10.115027999999999</v>
      </c>
    </row>
    <row r="126" spans="1:7" hidden="1" x14ac:dyDescent="0.25">
      <c r="A126" s="34" t="s">
        <v>652</v>
      </c>
      <c r="B126" s="19" t="s">
        <v>57</v>
      </c>
      <c r="C126" s="20">
        <v>437421</v>
      </c>
      <c r="D126" s="16" t="s">
        <v>125</v>
      </c>
      <c r="E126" s="30"/>
      <c r="F126" s="29"/>
      <c r="G126" s="40">
        <v>10.115027999999999</v>
      </c>
    </row>
    <row r="127" spans="1:7" hidden="1" x14ac:dyDescent="0.25">
      <c r="A127" s="34" t="s">
        <v>653</v>
      </c>
      <c r="B127" s="19" t="s">
        <v>57</v>
      </c>
      <c r="C127" s="20">
        <v>429040</v>
      </c>
      <c r="D127" s="16" t="s">
        <v>121</v>
      </c>
      <c r="E127" s="30"/>
      <c r="F127" s="29"/>
      <c r="G127" s="40">
        <v>7.5984479999999994</v>
      </c>
    </row>
    <row r="128" spans="1:7" hidden="1" x14ac:dyDescent="0.25">
      <c r="A128" s="34" t="s">
        <v>654</v>
      </c>
      <c r="B128" s="19" t="s">
        <v>57</v>
      </c>
      <c r="C128" s="20">
        <v>406040</v>
      </c>
      <c r="D128" s="16" t="s">
        <v>120</v>
      </c>
      <c r="E128" s="30"/>
      <c r="F128" s="29"/>
      <c r="G128" s="40">
        <v>15.0183</v>
      </c>
    </row>
    <row r="129" spans="1:7" hidden="1" x14ac:dyDescent="0.25">
      <c r="A129" s="34" t="s">
        <v>655</v>
      </c>
      <c r="B129" s="19" t="s">
        <v>57</v>
      </c>
      <c r="C129" s="20">
        <v>437420</v>
      </c>
      <c r="D129" s="16" t="s">
        <v>123</v>
      </c>
      <c r="E129" s="30"/>
      <c r="F129" s="29"/>
      <c r="G129" s="40">
        <v>10.115027999999999</v>
      </c>
    </row>
    <row r="130" spans="1:7" hidden="1" x14ac:dyDescent="0.25">
      <c r="A130" s="34" t="s">
        <v>656</v>
      </c>
      <c r="B130" s="19" t="s">
        <v>57</v>
      </c>
      <c r="C130" s="20">
        <v>417040</v>
      </c>
      <c r="D130" s="16" t="s">
        <v>119</v>
      </c>
      <c r="E130" s="30"/>
      <c r="F130" s="29"/>
      <c r="G130" s="40">
        <v>21.934835999999997</v>
      </c>
    </row>
    <row r="131" spans="1:7" hidden="1" x14ac:dyDescent="0.25">
      <c r="A131" s="34" t="s">
        <v>657</v>
      </c>
      <c r="B131" s="19" t="s">
        <v>57</v>
      </c>
      <c r="C131" s="20">
        <v>447040</v>
      </c>
      <c r="D131" s="16" t="s">
        <v>118</v>
      </c>
      <c r="E131" s="30"/>
      <c r="F131" s="29"/>
      <c r="G131" s="40">
        <v>10.407276</v>
      </c>
    </row>
    <row r="132" spans="1:7" hidden="1" x14ac:dyDescent="0.25">
      <c r="A132" s="34" t="s">
        <v>658</v>
      </c>
      <c r="B132" s="19" t="s">
        <v>57</v>
      </c>
      <c r="C132" s="16" t="s">
        <v>465</v>
      </c>
      <c r="D132" s="16" t="s">
        <v>129</v>
      </c>
      <c r="E132" s="30"/>
      <c r="F132" s="29"/>
      <c r="G132" s="40">
        <v>22.551803999999997</v>
      </c>
    </row>
    <row r="133" spans="1:7" hidden="1" x14ac:dyDescent="0.25">
      <c r="A133" s="34" t="s">
        <v>659</v>
      </c>
      <c r="B133" s="19" t="s">
        <v>57</v>
      </c>
      <c r="C133" s="16" t="s">
        <v>466</v>
      </c>
      <c r="D133" s="16" t="s">
        <v>127</v>
      </c>
      <c r="E133" s="30"/>
      <c r="F133" s="29"/>
      <c r="G133" s="40">
        <v>45.363383999999996</v>
      </c>
    </row>
    <row r="134" spans="1:7" hidden="1" x14ac:dyDescent="0.25">
      <c r="A134" s="34" t="s">
        <v>660</v>
      </c>
      <c r="B134" s="19" t="s">
        <v>57</v>
      </c>
      <c r="C134" s="20">
        <v>401060</v>
      </c>
      <c r="D134" s="16" t="s">
        <v>128</v>
      </c>
      <c r="E134" s="30"/>
      <c r="F134" s="29"/>
      <c r="G134" s="40">
        <v>80.254547999999986</v>
      </c>
    </row>
    <row r="135" spans="1:7" hidden="1" x14ac:dyDescent="0.25">
      <c r="A135" s="34" t="s">
        <v>661</v>
      </c>
      <c r="B135" s="19" t="s">
        <v>57</v>
      </c>
      <c r="C135" s="16" t="s">
        <v>467</v>
      </c>
      <c r="D135" s="16" t="s">
        <v>130</v>
      </c>
      <c r="E135" s="30"/>
      <c r="F135" s="29"/>
      <c r="G135" s="40">
        <v>103.39084800000001</v>
      </c>
    </row>
    <row r="136" spans="1:7" hidden="1" x14ac:dyDescent="0.25">
      <c r="A136" s="34" t="s">
        <v>662</v>
      </c>
      <c r="B136" s="19" t="s">
        <v>57</v>
      </c>
      <c r="C136" s="20">
        <v>406080</v>
      </c>
      <c r="D136" s="16" t="s">
        <v>134</v>
      </c>
      <c r="E136" s="30"/>
      <c r="F136" s="29"/>
      <c r="G136" s="40">
        <v>131.52783600000001</v>
      </c>
    </row>
    <row r="137" spans="1:7" hidden="1" x14ac:dyDescent="0.25">
      <c r="A137" s="34" t="s">
        <v>663</v>
      </c>
      <c r="B137" s="19" t="s">
        <v>57</v>
      </c>
      <c r="C137" s="16" t="s">
        <v>468</v>
      </c>
      <c r="D137" s="16" t="s">
        <v>131</v>
      </c>
      <c r="E137" s="30"/>
      <c r="F137" s="29"/>
      <c r="G137" s="40">
        <v>48.123503999999997</v>
      </c>
    </row>
    <row r="138" spans="1:7" hidden="1" x14ac:dyDescent="0.25">
      <c r="A138" s="34" t="s">
        <v>664</v>
      </c>
      <c r="B138" s="19" t="s">
        <v>57</v>
      </c>
      <c r="C138" s="20">
        <v>429080</v>
      </c>
      <c r="D138" s="16" t="s">
        <v>135</v>
      </c>
      <c r="E138" s="30"/>
      <c r="F138" s="29"/>
      <c r="G138" s="40">
        <v>45.054900000000004</v>
      </c>
    </row>
    <row r="139" spans="1:7" hidden="1" x14ac:dyDescent="0.25">
      <c r="A139" s="34" t="s">
        <v>665</v>
      </c>
      <c r="B139" s="19" t="s">
        <v>57</v>
      </c>
      <c r="C139" s="20">
        <v>406120</v>
      </c>
      <c r="D139" s="16" t="s">
        <v>80</v>
      </c>
      <c r="E139" s="30"/>
      <c r="F139" s="29"/>
      <c r="G139" s="40">
        <v>546.77977199999998</v>
      </c>
    </row>
    <row r="140" spans="1:7" hidden="1" x14ac:dyDescent="0.25">
      <c r="A140" s="34" t="s">
        <v>666</v>
      </c>
      <c r="B140" s="19" t="s">
        <v>57</v>
      </c>
      <c r="C140" s="20">
        <v>401120</v>
      </c>
      <c r="D140" s="16" t="s">
        <v>82</v>
      </c>
      <c r="E140" s="30"/>
      <c r="F140" s="29"/>
      <c r="G140" s="40">
        <v>786.42313200000012</v>
      </c>
    </row>
    <row r="141" spans="1:7" hidden="1" x14ac:dyDescent="0.25">
      <c r="A141" s="34" t="s">
        <v>667</v>
      </c>
      <c r="B141" s="19" t="s">
        <v>57</v>
      </c>
      <c r="C141" s="20">
        <v>447120</v>
      </c>
      <c r="D141" s="16" t="s">
        <v>78</v>
      </c>
      <c r="E141" s="30"/>
      <c r="F141" s="29"/>
      <c r="G141" s="40">
        <v>124.757424</v>
      </c>
    </row>
    <row r="142" spans="1:7" hidden="1" x14ac:dyDescent="0.25">
      <c r="A142" s="34" t="s">
        <v>668</v>
      </c>
      <c r="B142" s="19" t="s">
        <v>57</v>
      </c>
      <c r="C142" s="20">
        <v>417120</v>
      </c>
      <c r="D142" s="16" t="s">
        <v>79</v>
      </c>
      <c r="E142" s="30"/>
      <c r="F142" s="29"/>
      <c r="G142" s="40">
        <v>394.09642799999995</v>
      </c>
    </row>
    <row r="143" spans="1:7" hidden="1" x14ac:dyDescent="0.25">
      <c r="A143" s="34" t="s">
        <v>669</v>
      </c>
      <c r="B143" s="19" t="s">
        <v>57</v>
      </c>
      <c r="C143" s="20">
        <v>429120</v>
      </c>
      <c r="D143" s="16" t="s">
        <v>81</v>
      </c>
      <c r="E143" s="30"/>
      <c r="F143" s="29"/>
      <c r="G143" s="40">
        <v>207.28501199999997</v>
      </c>
    </row>
    <row r="144" spans="1:7" hidden="1" x14ac:dyDescent="0.25">
      <c r="A144" s="34" t="s">
        <v>670</v>
      </c>
      <c r="B144" s="19" t="s">
        <v>57</v>
      </c>
      <c r="C144" s="16" t="s">
        <v>469</v>
      </c>
      <c r="D144" s="16" t="s">
        <v>85</v>
      </c>
      <c r="E144" s="30"/>
      <c r="F144" s="29"/>
      <c r="G144" s="40">
        <v>211.79861999999997</v>
      </c>
    </row>
    <row r="145" spans="1:7" hidden="1" x14ac:dyDescent="0.25">
      <c r="A145" s="34" t="s">
        <v>671</v>
      </c>
      <c r="B145" s="19" t="s">
        <v>57</v>
      </c>
      <c r="C145" s="16" t="s">
        <v>470</v>
      </c>
      <c r="D145" s="16" t="s">
        <v>84</v>
      </c>
      <c r="E145" s="30"/>
      <c r="F145" s="29"/>
      <c r="G145" s="40">
        <v>151.51435199999997</v>
      </c>
    </row>
    <row r="146" spans="1:7" hidden="1" x14ac:dyDescent="0.25">
      <c r="A146" s="35" t="s">
        <v>672</v>
      </c>
      <c r="B146" s="19" t="s">
        <v>238</v>
      </c>
      <c r="C146" s="27" t="s">
        <v>471</v>
      </c>
      <c r="D146" s="28" t="s">
        <v>239</v>
      </c>
      <c r="E146" s="31"/>
      <c r="F146" s="29"/>
      <c r="G146" s="40">
        <v>7.2250199999999998</v>
      </c>
    </row>
    <row r="147" spans="1:7" hidden="1" x14ac:dyDescent="0.25">
      <c r="A147" s="35" t="s">
        <v>673</v>
      </c>
      <c r="B147" s="19" t="s">
        <v>238</v>
      </c>
      <c r="C147" s="27" t="s">
        <v>472</v>
      </c>
      <c r="D147" s="28" t="s">
        <v>240</v>
      </c>
      <c r="E147" s="31"/>
      <c r="F147" s="29"/>
      <c r="G147" s="40">
        <v>7.2250199999999998</v>
      </c>
    </row>
    <row r="148" spans="1:7" hidden="1" x14ac:dyDescent="0.25">
      <c r="A148" s="35" t="s">
        <v>674</v>
      </c>
      <c r="B148" s="19" t="s">
        <v>238</v>
      </c>
      <c r="C148" s="27" t="s">
        <v>473</v>
      </c>
      <c r="D148" s="28" t="s">
        <v>241</v>
      </c>
      <c r="E148" s="31"/>
      <c r="F148" s="29"/>
      <c r="G148" s="40">
        <v>7.9881119999999992</v>
      </c>
    </row>
    <row r="149" spans="1:7" hidden="1" x14ac:dyDescent="0.25">
      <c r="A149" s="35" t="s">
        <v>675</v>
      </c>
      <c r="B149" s="19" t="s">
        <v>238</v>
      </c>
      <c r="C149" s="27" t="s">
        <v>474</v>
      </c>
      <c r="D149" s="28" t="s">
        <v>242</v>
      </c>
      <c r="E149" s="31"/>
      <c r="F149" s="29"/>
      <c r="G149" s="40">
        <v>7.9881119999999992</v>
      </c>
    </row>
    <row r="150" spans="1:7" hidden="1" x14ac:dyDescent="0.25">
      <c r="A150" s="35" t="s">
        <v>676</v>
      </c>
      <c r="B150" s="19" t="s">
        <v>238</v>
      </c>
      <c r="C150" s="28" t="s">
        <v>475</v>
      </c>
      <c r="D150" s="28" t="s">
        <v>243</v>
      </c>
      <c r="E150" s="31"/>
      <c r="F150" s="29"/>
      <c r="G150" s="40">
        <v>10.894355999999998</v>
      </c>
    </row>
    <row r="151" spans="1:7" hidden="1" x14ac:dyDescent="0.25">
      <c r="A151" s="35" t="s">
        <v>677</v>
      </c>
      <c r="B151" s="19" t="s">
        <v>238</v>
      </c>
      <c r="C151" s="28" t="s">
        <v>476</v>
      </c>
      <c r="D151" s="28" t="s">
        <v>244</v>
      </c>
      <c r="E151" s="31"/>
      <c r="F151" s="29"/>
      <c r="G151" s="40">
        <v>10.602107999999998</v>
      </c>
    </row>
    <row r="152" spans="1:7" hidden="1" x14ac:dyDescent="0.25">
      <c r="A152" s="34" t="s">
        <v>678</v>
      </c>
      <c r="B152" s="19" t="s">
        <v>238</v>
      </c>
      <c r="C152" s="16" t="s">
        <v>477</v>
      </c>
      <c r="D152" s="16" t="s">
        <v>245</v>
      </c>
      <c r="E152" s="30"/>
      <c r="F152" s="29"/>
      <c r="G152" s="40">
        <v>12.550428</v>
      </c>
    </row>
    <row r="153" spans="1:7" hidden="1" x14ac:dyDescent="0.25">
      <c r="A153" s="35" t="s">
        <v>679</v>
      </c>
      <c r="B153" s="19" t="s">
        <v>238</v>
      </c>
      <c r="C153" s="28" t="s">
        <v>478</v>
      </c>
      <c r="D153" s="28" t="s">
        <v>246</v>
      </c>
      <c r="E153" s="31"/>
      <c r="F153" s="29"/>
      <c r="G153" s="40">
        <v>13.297283999999999</v>
      </c>
    </row>
    <row r="154" spans="1:7" hidden="1" x14ac:dyDescent="0.25">
      <c r="A154" s="35" t="s">
        <v>680</v>
      </c>
      <c r="B154" s="19" t="s">
        <v>238</v>
      </c>
      <c r="C154" s="28" t="s">
        <v>479</v>
      </c>
      <c r="D154" s="28" t="s">
        <v>247</v>
      </c>
      <c r="E154" s="31"/>
      <c r="F154" s="29"/>
      <c r="G154" s="40">
        <v>13.297283999999999</v>
      </c>
    </row>
    <row r="155" spans="1:7" hidden="1" x14ac:dyDescent="0.25">
      <c r="A155" s="34" t="s">
        <v>681</v>
      </c>
      <c r="B155" s="19" t="s">
        <v>238</v>
      </c>
      <c r="C155" s="16" t="s">
        <v>480</v>
      </c>
      <c r="D155" s="16" t="s">
        <v>248</v>
      </c>
      <c r="E155" s="30"/>
      <c r="F155" s="29"/>
      <c r="G155" s="40">
        <v>13.573295999999997</v>
      </c>
    </row>
    <row r="156" spans="1:7" hidden="1" x14ac:dyDescent="0.25">
      <c r="A156" s="34" t="s">
        <v>682</v>
      </c>
      <c r="B156" s="19" t="s">
        <v>238</v>
      </c>
      <c r="C156" s="16" t="s">
        <v>481</v>
      </c>
      <c r="D156" s="16" t="s">
        <v>249</v>
      </c>
      <c r="E156" s="30"/>
      <c r="F156" s="29"/>
      <c r="G156" s="40">
        <v>13.573295999999997</v>
      </c>
    </row>
    <row r="157" spans="1:7" hidden="1" x14ac:dyDescent="0.25">
      <c r="A157" s="34" t="s">
        <v>683</v>
      </c>
      <c r="B157" s="19" t="s">
        <v>238</v>
      </c>
      <c r="C157" s="16" t="s">
        <v>482</v>
      </c>
      <c r="D157" s="16" t="s">
        <v>250</v>
      </c>
      <c r="E157" s="30"/>
      <c r="F157" s="29"/>
      <c r="G157" s="40">
        <v>13.573295999999997</v>
      </c>
    </row>
    <row r="158" spans="1:7" hidden="1" x14ac:dyDescent="0.25">
      <c r="A158" s="34" t="s">
        <v>684</v>
      </c>
      <c r="B158" s="19" t="s">
        <v>238</v>
      </c>
      <c r="C158" s="16" t="s">
        <v>483</v>
      </c>
      <c r="D158" s="16" t="s">
        <v>251</v>
      </c>
      <c r="E158" s="30"/>
      <c r="F158" s="29"/>
      <c r="G158" s="40">
        <v>13.573295999999997</v>
      </c>
    </row>
    <row r="159" spans="1:7" hidden="1" x14ac:dyDescent="0.25">
      <c r="A159" s="34" t="s">
        <v>685</v>
      </c>
      <c r="B159" s="19" t="s">
        <v>238</v>
      </c>
      <c r="C159" s="16" t="s">
        <v>484</v>
      </c>
      <c r="D159" s="16" t="s">
        <v>252</v>
      </c>
      <c r="E159" s="30"/>
      <c r="F159" s="29"/>
      <c r="G159" s="40">
        <v>13.573295999999997</v>
      </c>
    </row>
    <row r="160" spans="1:7" hidden="1" x14ac:dyDescent="0.25">
      <c r="A160" s="34" t="s">
        <v>686</v>
      </c>
      <c r="B160" s="19" t="s">
        <v>238</v>
      </c>
      <c r="C160" s="16" t="s">
        <v>485</v>
      </c>
      <c r="D160" s="16" t="s">
        <v>253</v>
      </c>
      <c r="E160" s="30"/>
      <c r="F160" s="29"/>
      <c r="G160" s="40">
        <v>13.573295999999997</v>
      </c>
    </row>
    <row r="161" spans="1:7" hidden="1" x14ac:dyDescent="0.25">
      <c r="A161" s="35" t="s">
        <v>687</v>
      </c>
      <c r="B161" s="19" t="s">
        <v>238</v>
      </c>
      <c r="C161" s="27" t="s">
        <v>486</v>
      </c>
      <c r="D161" s="28" t="s">
        <v>254</v>
      </c>
      <c r="E161" s="31"/>
      <c r="F161" s="29"/>
      <c r="G161" s="40">
        <v>13.573295999999997</v>
      </c>
    </row>
    <row r="162" spans="1:7" hidden="1" x14ac:dyDescent="0.25">
      <c r="A162" s="34" t="s">
        <v>688</v>
      </c>
      <c r="B162" s="19" t="s">
        <v>238</v>
      </c>
      <c r="C162" s="16" t="s">
        <v>487</v>
      </c>
      <c r="D162" s="16" t="s">
        <v>255</v>
      </c>
      <c r="E162" s="30"/>
      <c r="F162" s="29"/>
      <c r="G162" s="40">
        <v>18.346679999999999</v>
      </c>
    </row>
    <row r="163" spans="1:7" hidden="1" x14ac:dyDescent="0.25">
      <c r="A163" s="34" t="s">
        <v>689</v>
      </c>
      <c r="B163" s="19" t="s">
        <v>238</v>
      </c>
      <c r="C163" s="16" t="s">
        <v>488</v>
      </c>
      <c r="D163" s="16" t="s">
        <v>256</v>
      </c>
      <c r="E163" s="30"/>
      <c r="F163" s="29"/>
      <c r="G163" s="40">
        <v>15.537852000000001</v>
      </c>
    </row>
    <row r="164" spans="1:7" hidden="1" x14ac:dyDescent="0.25">
      <c r="A164" s="35" t="s">
        <v>690</v>
      </c>
      <c r="B164" s="19" t="s">
        <v>238</v>
      </c>
      <c r="C164" s="28" t="s">
        <v>489</v>
      </c>
      <c r="D164" s="28" t="s">
        <v>257</v>
      </c>
      <c r="E164" s="31"/>
      <c r="F164" s="29"/>
      <c r="G164" s="40">
        <v>15.537852000000001</v>
      </c>
    </row>
    <row r="165" spans="1:7" hidden="1" x14ac:dyDescent="0.25">
      <c r="A165" s="35" t="s">
        <v>691</v>
      </c>
      <c r="B165" s="19" t="s">
        <v>238</v>
      </c>
      <c r="C165" s="28" t="s">
        <v>490</v>
      </c>
      <c r="D165" s="28" t="s">
        <v>258</v>
      </c>
      <c r="E165" s="31"/>
      <c r="F165" s="29"/>
      <c r="G165" s="40">
        <v>15.537852000000001</v>
      </c>
    </row>
    <row r="166" spans="1:7" hidden="1" x14ac:dyDescent="0.25">
      <c r="A166" s="35" t="s">
        <v>692</v>
      </c>
      <c r="B166" s="19" t="s">
        <v>238</v>
      </c>
      <c r="C166" s="28" t="s">
        <v>491</v>
      </c>
      <c r="D166" s="28" t="s">
        <v>259</v>
      </c>
      <c r="E166" s="31"/>
      <c r="F166" s="29"/>
      <c r="G166" s="40">
        <v>15.537852000000001</v>
      </c>
    </row>
    <row r="167" spans="1:7" hidden="1" x14ac:dyDescent="0.25">
      <c r="A167" s="35" t="s">
        <v>693</v>
      </c>
      <c r="B167" s="19" t="s">
        <v>238</v>
      </c>
      <c r="C167" s="28" t="s">
        <v>492</v>
      </c>
      <c r="D167" s="28" t="s">
        <v>260</v>
      </c>
      <c r="E167" s="31"/>
      <c r="F167" s="29"/>
      <c r="G167" s="40">
        <v>15.537852000000001</v>
      </c>
    </row>
    <row r="168" spans="1:7" hidden="1" x14ac:dyDescent="0.25">
      <c r="A168" s="35" t="s">
        <v>694</v>
      </c>
      <c r="B168" s="19" t="s">
        <v>238</v>
      </c>
      <c r="C168" s="28" t="s">
        <v>493</v>
      </c>
      <c r="D168" s="28" t="s">
        <v>261</v>
      </c>
      <c r="E168" s="31"/>
      <c r="F168" s="29"/>
      <c r="G168" s="40">
        <v>18.346679999999999</v>
      </c>
    </row>
    <row r="169" spans="1:7" hidden="1" x14ac:dyDescent="0.25">
      <c r="A169" s="34" t="s">
        <v>695</v>
      </c>
      <c r="B169" s="19" t="s">
        <v>238</v>
      </c>
      <c r="C169" s="16" t="s">
        <v>494</v>
      </c>
      <c r="D169" s="16" t="s">
        <v>262</v>
      </c>
      <c r="E169" s="30"/>
      <c r="F169" s="29"/>
      <c r="G169" s="40">
        <v>17.924543999999997</v>
      </c>
    </row>
    <row r="170" spans="1:7" hidden="1" x14ac:dyDescent="0.25">
      <c r="A170" s="34" t="s">
        <v>696</v>
      </c>
      <c r="B170" s="19" t="s">
        <v>165</v>
      </c>
      <c r="C170" s="16" t="s">
        <v>495</v>
      </c>
      <c r="D170" s="16" t="s">
        <v>185</v>
      </c>
      <c r="E170" s="30"/>
      <c r="F170" s="29"/>
      <c r="G170" s="40">
        <v>76.195548000000002</v>
      </c>
    </row>
    <row r="171" spans="1:7" hidden="1" x14ac:dyDescent="0.25">
      <c r="A171" s="34" t="s">
        <v>697</v>
      </c>
      <c r="B171" s="19" t="s">
        <v>165</v>
      </c>
      <c r="C171" s="16" t="s">
        <v>496</v>
      </c>
      <c r="D171" s="16" t="s">
        <v>186</v>
      </c>
      <c r="E171" s="30"/>
      <c r="F171" s="29"/>
      <c r="G171" s="40">
        <v>24.613776000000001</v>
      </c>
    </row>
    <row r="172" spans="1:7" hidden="1" x14ac:dyDescent="0.25">
      <c r="A172" s="34" t="s">
        <v>698</v>
      </c>
      <c r="B172" s="19" t="s">
        <v>165</v>
      </c>
      <c r="C172" s="16" t="s">
        <v>497</v>
      </c>
      <c r="D172" s="16" t="s">
        <v>187</v>
      </c>
      <c r="E172" s="30"/>
      <c r="F172" s="29"/>
      <c r="G172" s="40">
        <v>40.395167999999998</v>
      </c>
    </row>
    <row r="173" spans="1:7" hidden="1" x14ac:dyDescent="0.25">
      <c r="A173" s="34" t="s">
        <v>699</v>
      </c>
      <c r="B173" s="19" t="s">
        <v>165</v>
      </c>
      <c r="C173" s="16" t="s">
        <v>498</v>
      </c>
      <c r="D173" s="16" t="s">
        <v>188</v>
      </c>
      <c r="E173" s="30"/>
      <c r="F173" s="29"/>
      <c r="G173" s="40">
        <v>16.089875999999997</v>
      </c>
    </row>
    <row r="174" spans="1:7" hidden="1" x14ac:dyDescent="0.25">
      <c r="A174" s="34" t="s">
        <v>700</v>
      </c>
      <c r="B174" s="19" t="s">
        <v>30</v>
      </c>
      <c r="C174" s="16" t="s">
        <v>701</v>
      </c>
      <c r="D174" s="16" t="s">
        <v>702</v>
      </c>
      <c r="E174" s="30"/>
      <c r="F174" s="29"/>
      <c r="G174" s="40">
        <v>2693.5523999999996</v>
      </c>
    </row>
    <row r="175" spans="1:7" hidden="1" x14ac:dyDescent="0.25">
      <c r="A175" s="34" t="s">
        <v>703</v>
      </c>
      <c r="B175" s="19" t="s">
        <v>30</v>
      </c>
      <c r="C175" s="16" t="s">
        <v>704</v>
      </c>
      <c r="D175" s="16" t="s">
        <v>705</v>
      </c>
      <c r="E175" s="30"/>
      <c r="F175" s="29"/>
      <c r="G175" s="40">
        <v>1932.9769799999999</v>
      </c>
    </row>
    <row r="176" spans="1:7" hidden="1" x14ac:dyDescent="0.25">
      <c r="A176" s="34" t="s">
        <v>706</v>
      </c>
      <c r="B176" s="19" t="s">
        <v>30</v>
      </c>
      <c r="C176" s="20">
        <v>520736</v>
      </c>
      <c r="D176" s="16" t="s">
        <v>31</v>
      </c>
      <c r="E176" s="30"/>
      <c r="F176" s="29"/>
      <c r="G176" s="40">
        <v>357.11081999999999</v>
      </c>
    </row>
    <row r="177" spans="1:7" hidden="1" x14ac:dyDescent="0.25">
      <c r="A177" s="34" t="s">
        <v>707</v>
      </c>
      <c r="B177" s="19" t="s">
        <v>30</v>
      </c>
      <c r="C177" s="20">
        <v>520554</v>
      </c>
      <c r="D177" s="16" t="s">
        <v>32</v>
      </c>
      <c r="E177" s="30"/>
      <c r="F177" s="29"/>
      <c r="G177" s="40">
        <v>1158.308712</v>
      </c>
    </row>
    <row r="178" spans="1:7" hidden="1" x14ac:dyDescent="0.25">
      <c r="A178" s="34" t="s">
        <v>708</v>
      </c>
      <c r="B178" s="19" t="s">
        <v>30</v>
      </c>
      <c r="C178" s="20">
        <v>520555</v>
      </c>
      <c r="D178" s="16" t="s">
        <v>33</v>
      </c>
      <c r="E178" s="30"/>
      <c r="F178" s="29"/>
      <c r="G178" s="40">
        <v>1413.6847560000001</v>
      </c>
    </row>
    <row r="179" spans="1:7" hidden="1" x14ac:dyDescent="0.25">
      <c r="A179" s="34" t="s">
        <v>709</v>
      </c>
      <c r="B179" s="19" t="s">
        <v>30</v>
      </c>
      <c r="C179" s="20">
        <v>520556</v>
      </c>
      <c r="D179" s="16" t="s">
        <v>34</v>
      </c>
      <c r="E179" s="30"/>
      <c r="F179" s="29"/>
      <c r="G179" s="40">
        <v>664.0361640000001</v>
      </c>
    </row>
    <row r="180" spans="1:7" hidden="1" x14ac:dyDescent="0.25">
      <c r="A180" s="34" t="s">
        <v>710</v>
      </c>
      <c r="B180" s="19" t="s">
        <v>30</v>
      </c>
      <c r="C180" s="20">
        <v>520595</v>
      </c>
      <c r="D180" s="16" t="s">
        <v>35</v>
      </c>
      <c r="E180" s="30"/>
      <c r="F180" s="29"/>
      <c r="G180" s="40">
        <v>68.142492000000004</v>
      </c>
    </row>
    <row r="181" spans="1:7" hidden="1" x14ac:dyDescent="0.25">
      <c r="A181" s="34" t="s">
        <v>711</v>
      </c>
      <c r="B181" s="19" t="s">
        <v>30</v>
      </c>
      <c r="C181" s="20">
        <v>521105</v>
      </c>
      <c r="D181" s="16" t="s">
        <v>36</v>
      </c>
      <c r="E181" s="30"/>
      <c r="F181" s="29"/>
      <c r="G181" s="40">
        <v>1507.171644</v>
      </c>
    </row>
    <row r="182" spans="1:7" hidden="1" x14ac:dyDescent="0.25">
      <c r="A182" s="34" t="s">
        <v>712</v>
      </c>
      <c r="B182" s="19" t="s">
        <v>30</v>
      </c>
      <c r="C182" s="20">
        <v>521377</v>
      </c>
      <c r="D182" s="16" t="s">
        <v>306</v>
      </c>
      <c r="E182" s="30"/>
      <c r="F182" s="29"/>
      <c r="G182" s="40">
        <v>1156.376628</v>
      </c>
    </row>
    <row r="183" spans="1:7" hidden="1" x14ac:dyDescent="0.25">
      <c r="A183" s="34" t="s">
        <v>713</v>
      </c>
      <c r="B183" s="19" t="s">
        <v>30</v>
      </c>
      <c r="C183" s="20">
        <v>523081</v>
      </c>
      <c r="D183" s="16" t="s">
        <v>307</v>
      </c>
      <c r="E183" s="30"/>
      <c r="F183" s="29"/>
      <c r="G183" s="40">
        <v>1147.9826159999998</v>
      </c>
    </row>
    <row r="184" spans="1:7" hidden="1" x14ac:dyDescent="0.25">
      <c r="A184" s="34" t="s">
        <v>714</v>
      </c>
      <c r="B184" s="19" t="s">
        <v>30</v>
      </c>
      <c r="C184" s="16" t="s">
        <v>715</v>
      </c>
      <c r="D184" s="16" t="s">
        <v>308</v>
      </c>
      <c r="E184" s="30"/>
      <c r="F184" s="29"/>
      <c r="G184" s="40">
        <v>169.60125599999998</v>
      </c>
    </row>
    <row r="185" spans="1:7" hidden="1" x14ac:dyDescent="0.25">
      <c r="A185" s="34" t="s">
        <v>716</v>
      </c>
      <c r="B185" s="19" t="s">
        <v>30</v>
      </c>
      <c r="C185" s="16" t="s">
        <v>717</v>
      </c>
      <c r="D185" s="16" t="s">
        <v>309</v>
      </c>
      <c r="E185" s="30"/>
      <c r="F185" s="29"/>
      <c r="G185" s="40">
        <v>351.11973599999999</v>
      </c>
    </row>
    <row r="186" spans="1:7" hidden="1" x14ac:dyDescent="0.25">
      <c r="A186" s="34" t="s">
        <v>718</v>
      </c>
      <c r="B186" s="19" t="s">
        <v>165</v>
      </c>
      <c r="C186" s="16" t="s">
        <v>388</v>
      </c>
      <c r="D186" s="16" t="s">
        <v>189</v>
      </c>
      <c r="E186" s="30"/>
      <c r="F186" s="29"/>
      <c r="G186" s="40">
        <v>179.45650799999999</v>
      </c>
    </row>
    <row r="187" spans="1:7" hidden="1" x14ac:dyDescent="0.25">
      <c r="A187" s="34" t="s">
        <v>719</v>
      </c>
      <c r="B187" s="19" t="s">
        <v>165</v>
      </c>
      <c r="C187" s="16" t="s">
        <v>389</v>
      </c>
      <c r="D187" s="16" t="s">
        <v>190</v>
      </c>
      <c r="E187" s="30"/>
      <c r="F187" s="29"/>
      <c r="G187" s="40">
        <v>346.07033999999999</v>
      </c>
    </row>
    <row r="188" spans="1:7" hidden="1" x14ac:dyDescent="0.25">
      <c r="A188" s="34" t="s">
        <v>720</v>
      </c>
      <c r="B188" s="19" t="s">
        <v>165</v>
      </c>
      <c r="C188" s="16" t="s">
        <v>390</v>
      </c>
      <c r="D188" s="16" t="s">
        <v>191</v>
      </c>
      <c r="E188" s="30"/>
      <c r="F188" s="29"/>
      <c r="G188" s="40">
        <v>212.26946400000003</v>
      </c>
    </row>
    <row r="189" spans="1:7" hidden="1" x14ac:dyDescent="0.25">
      <c r="A189" s="34" t="s">
        <v>721</v>
      </c>
      <c r="B189" s="19" t="s">
        <v>165</v>
      </c>
      <c r="C189" s="16" t="s">
        <v>391</v>
      </c>
      <c r="D189" s="16" t="s">
        <v>192</v>
      </c>
      <c r="E189" s="30"/>
      <c r="F189" s="29"/>
      <c r="G189" s="40">
        <v>316.13115599999998</v>
      </c>
    </row>
    <row r="190" spans="1:7" hidden="1" x14ac:dyDescent="0.25">
      <c r="A190" s="34" t="s">
        <v>722</v>
      </c>
      <c r="B190" s="19" t="s">
        <v>165</v>
      </c>
      <c r="C190" s="20">
        <v>361</v>
      </c>
      <c r="D190" s="16" t="s">
        <v>193</v>
      </c>
      <c r="E190" s="30"/>
      <c r="F190" s="29"/>
      <c r="G190" s="40">
        <v>123.92938799999999</v>
      </c>
    </row>
    <row r="191" spans="1:7" hidden="1" x14ac:dyDescent="0.25">
      <c r="A191" s="34" t="s">
        <v>723</v>
      </c>
      <c r="B191" s="19" t="s">
        <v>165</v>
      </c>
      <c r="C191" s="16" t="s">
        <v>392</v>
      </c>
      <c r="D191" s="16" t="s">
        <v>194</v>
      </c>
      <c r="E191" s="30"/>
      <c r="F191" s="29"/>
      <c r="G191" s="40">
        <v>35.508131999999996</v>
      </c>
    </row>
    <row r="192" spans="1:7" hidden="1" x14ac:dyDescent="0.25">
      <c r="A192" s="34" t="s">
        <v>724</v>
      </c>
      <c r="B192" s="19" t="s">
        <v>165</v>
      </c>
      <c r="C192" s="16" t="s">
        <v>393</v>
      </c>
      <c r="D192" s="16" t="s">
        <v>195</v>
      </c>
      <c r="E192" s="30"/>
      <c r="F192" s="29"/>
      <c r="G192" s="40">
        <v>36.628415999999994</v>
      </c>
    </row>
    <row r="193" spans="1:7" hidden="1" x14ac:dyDescent="0.25">
      <c r="A193" s="34" t="s">
        <v>725</v>
      </c>
      <c r="B193" s="19" t="s">
        <v>165</v>
      </c>
      <c r="C193" s="16" t="s">
        <v>394</v>
      </c>
      <c r="D193" s="16" t="s">
        <v>196</v>
      </c>
      <c r="E193" s="30"/>
      <c r="F193" s="29"/>
      <c r="G193" s="40">
        <v>11.560032</v>
      </c>
    </row>
    <row r="194" spans="1:7" hidden="1" x14ac:dyDescent="0.25">
      <c r="A194" s="34" t="s">
        <v>726</v>
      </c>
      <c r="B194" s="19" t="s">
        <v>165</v>
      </c>
      <c r="C194" s="16" t="s">
        <v>395</v>
      </c>
      <c r="D194" s="16" t="s">
        <v>197</v>
      </c>
      <c r="E194" s="30"/>
      <c r="F194" s="29"/>
      <c r="G194" s="40">
        <v>12.566664000000001</v>
      </c>
    </row>
    <row r="195" spans="1:7" hidden="1" x14ac:dyDescent="0.25">
      <c r="A195" s="34" t="s">
        <v>727</v>
      </c>
      <c r="B195" s="19" t="s">
        <v>165</v>
      </c>
      <c r="C195" s="16" t="s">
        <v>396</v>
      </c>
      <c r="D195" s="16" t="s">
        <v>198</v>
      </c>
      <c r="E195" s="30"/>
      <c r="F195" s="29"/>
      <c r="G195" s="40">
        <v>20.635956</v>
      </c>
    </row>
    <row r="196" spans="1:7" hidden="1" x14ac:dyDescent="0.25">
      <c r="A196" s="34" t="s">
        <v>728</v>
      </c>
      <c r="B196" s="19" t="s">
        <v>165</v>
      </c>
      <c r="C196" s="16" t="s">
        <v>397</v>
      </c>
      <c r="D196" s="16" t="s">
        <v>199</v>
      </c>
      <c r="E196" s="30"/>
      <c r="F196" s="29"/>
      <c r="G196" s="40">
        <v>8.702496</v>
      </c>
    </row>
    <row r="197" spans="1:7" hidden="1" x14ac:dyDescent="0.25">
      <c r="A197" s="34" t="s">
        <v>729</v>
      </c>
      <c r="B197" s="19" t="s">
        <v>165</v>
      </c>
      <c r="C197" s="16" t="s">
        <v>398</v>
      </c>
      <c r="D197" s="16" t="s">
        <v>200</v>
      </c>
      <c r="E197" s="30"/>
      <c r="F197" s="29"/>
      <c r="G197" s="40">
        <v>8.1991800000000001</v>
      </c>
    </row>
    <row r="198" spans="1:7" hidden="1" x14ac:dyDescent="0.25">
      <c r="A198" s="34" t="s">
        <v>730</v>
      </c>
      <c r="B198" s="19" t="s">
        <v>267</v>
      </c>
      <c r="C198" s="16" t="s">
        <v>277</v>
      </c>
      <c r="D198" s="16" t="s">
        <v>268</v>
      </c>
      <c r="E198" s="30"/>
      <c r="F198" s="29"/>
      <c r="G198" s="40">
        <v>901.68249600000001</v>
      </c>
    </row>
    <row r="199" spans="1:7" hidden="1" x14ac:dyDescent="0.25">
      <c r="A199" s="34" t="s">
        <v>731</v>
      </c>
      <c r="B199" s="19" t="s">
        <v>267</v>
      </c>
      <c r="C199" s="16" t="s">
        <v>278</v>
      </c>
      <c r="D199" s="16" t="s">
        <v>269</v>
      </c>
      <c r="E199" s="30"/>
      <c r="F199" s="29"/>
      <c r="G199" s="40">
        <v>770.99893199999997</v>
      </c>
    </row>
    <row r="200" spans="1:7" hidden="1" x14ac:dyDescent="0.25">
      <c r="A200" s="34" t="s">
        <v>732</v>
      </c>
      <c r="B200" s="19" t="s">
        <v>267</v>
      </c>
      <c r="C200" s="16" t="s">
        <v>279</v>
      </c>
      <c r="D200" s="16" t="s">
        <v>270</v>
      </c>
      <c r="E200" s="30"/>
      <c r="F200" s="29"/>
      <c r="G200" s="40">
        <v>289.69894799999997</v>
      </c>
    </row>
    <row r="201" spans="1:7" hidden="1" x14ac:dyDescent="0.25">
      <c r="A201" s="34" t="s">
        <v>733</v>
      </c>
      <c r="B201" s="19" t="s">
        <v>267</v>
      </c>
      <c r="C201" s="16" t="s">
        <v>280</v>
      </c>
      <c r="D201" s="16" t="s">
        <v>271</v>
      </c>
      <c r="E201" s="30"/>
      <c r="F201" s="29"/>
      <c r="G201" s="40">
        <v>504.03038399999991</v>
      </c>
    </row>
    <row r="202" spans="1:7" hidden="1" x14ac:dyDescent="0.25">
      <c r="A202" s="34" t="s">
        <v>734</v>
      </c>
      <c r="B202" s="19" t="s">
        <v>267</v>
      </c>
      <c r="C202" s="16" t="s">
        <v>281</v>
      </c>
      <c r="D202" s="16" t="s">
        <v>272</v>
      </c>
      <c r="E202" s="30"/>
      <c r="F202" s="29"/>
      <c r="G202" s="40">
        <v>1292.174532</v>
      </c>
    </row>
    <row r="203" spans="1:7" hidden="1" x14ac:dyDescent="0.25">
      <c r="A203" s="34" t="s">
        <v>735</v>
      </c>
      <c r="B203" s="19" t="s">
        <v>267</v>
      </c>
      <c r="C203" s="16" t="s">
        <v>282</v>
      </c>
      <c r="D203" s="16" t="s">
        <v>273</v>
      </c>
      <c r="E203" s="30"/>
      <c r="F203" s="29"/>
      <c r="G203" s="40">
        <v>356.91598800000003</v>
      </c>
    </row>
    <row r="204" spans="1:7" hidden="1" x14ac:dyDescent="0.25">
      <c r="A204" s="34" t="s">
        <v>736</v>
      </c>
      <c r="B204" s="19" t="s">
        <v>267</v>
      </c>
      <c r="C204" s="16" t="s">
        <v>283</v>
      </c>
      <c r="D204" s="16" t="s">
        <v>274</v>
      </c>
      <c r="E204" s="30"/>
      <c r="F204" s="29"/>
      <c r="G204" s="40">
        <v>928.13093999999978</v>
      </c>
    </row>
    <row r="205" spans="1:7" hidden="1" x14ac:dyDescent="0.25">
      <c r="A205" s="34" t="s">
        <v>737</v>
      </c>
      <c r="B205" s="19" t="s">
        <v>267</v>
      </c>
      <c r="C205" s="16" t="s">
        <v>284</v>
      </c>
      <c r="D205" s="16" t="s">
        <v>275</v>
      </c>
      <c r="E205" s="30"/>
      <c r="F205" s="29"/>
      <c r="G205" s="40">
        <v>79.605108000000001</v>
      </c>
    </row>
    <row r="206" spans="1:7" hidden="1" x14ac:dyDescent="0.25">
      <c r="A206" s="34" t="s">
        <v>738</v>
      </c>
      <c r="B206" s="19" t="s">
        <v>267</v>
      </c>
      <c r="C206" s="16" t="s">
        <v>285</v>
      </c>
      <c r="D206" s="16" t="s">
        <v>276</v>
      </c>
      <c r="E206" s="30"/>
      <c r="F206" s="29"/>
      <c r="G206" s="40">
        <v>9.4818239999999978</v>
      </c>
    </row>
    <row r="207" spans="1:7" hidden="1" x14ac:dyDescent="0.25">
      <c r="A207" s="34" t="s">
        <v>739</v>
      </c>
      <c r="B207" s="19" t="s">
        <v>201</v>
      </c>
      <c r="C207" s="20">
        <v>523910</v>
      </c>
      <c r="D207" s="16" t="s">
        <v>202</v>
      </c>
      <c r="E207" s="30"/>
      <c r="F207" s="29"/>
      <c r="G207" s="40">
        <v>2105.4032999999999</v>
      </c>
    </row>
    <row r="208" spans="1:7" hidden="1" x14ac:dyDescent="0.25">
      <c r="A208" s="34" t="s">
        <v>740</v>
      </c>
      <c r="B208" s="19" t="s">
        <v>201</v>
      </c>
      <c r="C208" s="20">
        <v>521903</v>
      </c>
      <c r="D208" s="16" t="s">
        <v>203</v>
      </c>
      <c r="E208" s="30"/>
      <c r="F208" s="29"/>
      <c r="G208" s="40">
        <v>5990.1747840000007</v>
      </c>
    </row>
    <row r="209" spans="1:7" hidden="1" x14ac:dyDescent="0.25">
      <c r="A209" s="34" t="s">
        <v>741</v>
      </c>
      <c r="B209" s="19" t="s">
        <v>201</v>
      </c>
      <c r="C209" s="20">
        <v>521915</v>
      </c>
      <c r="D209" s="24" t="s">
        <v>499</v>
      </c>
      <c r="E209" s="30"/>
      <c r="F209" s="29"/>
      <c r="G209" s="40">
        <v>3853.2898799999998</v>
      </c>
    </row>
    <row r="210" spans="1:7" hidden="1" x14ac:dyDescent="0.25">
      <c r="A210" s="34" t="s">
        <v>742</v>
      </c>
      <c r="B210" s="19" t="s">
        <v>201</v>
      </c>
      <c r="C210" s="20">
        <v>522036</v>
      </c>
      <c r="D210" s="16" t="s">
        <v>204</v>
      </c>
      <c r="E210" s="30"/>
      <c r="F210" s="29"/>
      <c r="G210" s="40">
        <v>1213.770888</v>
      </c>
    </row>
    <row r="211" spans="1:7" hidden="1" x14ac:dyDescent="0.25">
      <c r="A211" s="34" t="s">
        <v>743</v>
      </c>
      <c r="B211" s="19" t="s">
        <v>201</v>
      </c>
      <c r="C211" s="20" t="s">
        <v>500</v>
      </c>
      <c r="D211" s="16" t="s">
        <v>205</v>
      </c>
      <c r="E211" s="30"/>
      <c r="F211" s="29"/>
      <c r="G211" s="40">
        <v>370.27821599999999</v>
      </c>
    </row>
    <row r="212" spans="1:7" hidden="1" x14ac:dyDescent="0.25">
      <c r="A212" s="34" t="s">
        <v>744</v>
      </c>
      <c r="B212" s="19" t="s">
        <v>201</v>
      </c>
      <c r="C212" s="20">
        <v>523434</v>
      </c>
      <c r="D212" s="16" t="s">
        <v>206</v>
      </c>
      <c r="E212" s="30"/>
      <c r="F212" s="29"/>
      <c r="G212" s="40">
        <v>505.15066799999988</v>
      </c>
    </row>
    <row r="213" spans="1:7" hidden="1" x14ac:dyDescent="0.25">
      <c r="A213" s="34" t="s">
        <v>745</v>
      </c>
      <c r="B213" s="19" t="s">
        <v>201</v>
      </c>
      <c r="C213" s="20">
        <v>263045</v>
      </c>
      <c r="D213" s="16" t="s">
        <v>207</v>
      </c>
      <c r="E213" s="30"/>
      <c r="F213" s="29"/>
      <c r="G213" s="40">
        <v>314.92969199999999</v>
      </c>
    </row>
    <row r="214" spans="1:7" hidden="1" x14ac:dyDescent="0.25">
      <c r="A214" s="34" t="s">
        <v>746</v>
      </c>
      <c r="B214" s="19" t="s">
        <v>201</v>
      </c>
      <c r="C214" s="20">
        <v>521485</v>
      </c>
      <c r="D214" s="16" t="s">
        <v>208</v>
      </c>
      <c r="E214" s="30"/>
      <c r="F214" s="29"/>
      <c r="G214" s="40">
        <v>352.17507599999999</v>
      </c>
    </row>
    <row r="215" spans="1:7" hidden="1" x14ac:dyDescent="0.25">
      <c r="A215" s="34" t="s">
        <v>747</v>
      </c>
      <c r="B215" s="19" t="s">
        <v>201</v>
      </c>
      <c r="C215" s="20">
        <v>521885</v>
      </c>
      <c r="D215" s="16" t="s">
        <v>209</v>
      </c>
      <c r="E215" s="30"/>
      <c r="F215" s="29"/>
      <c r="G215" s="40">
        <v>419.86295999999999</v>
      </c>
    </row>
    <row r="216" spans="1:7" hidden="1" x14ac:dyDescent="0.25">
      <c r="A216" s="34" t="s">
        <v>748</v>
      </c>
      <c r="B216" s="19" t="s">
        <v>201</v>
      </c>
      <c r="C216" s="20">
        <v>521887</v>
      </c>
      <c r="D216" s="16" t="s">
        <v>210</v>
      </c>
      <c r="E216" s="30"/>
      <c r="F216" s="29"/>
      <c r="G216" s="40">
        <v>475.13030399999991</v>
      </c>
    </row>
    <row r="217" spans="1:7" hidden="1" x14ac:dyDescent="0.25">
      <c r="A217" s="34" t="s">
        <v>749</v>
      </c>
      <c r="B217" s="19" t="s">
        <v>201</v>
      </c>
      <c r="C217" s="20">
        <v>521178</v>
      </c>
      <c r="D217" s="16" t="s">
        <v>211</v>
      </c>
      <c r="E217" s="30"/>
      <c r="F217" s="29"/>
      <c r="G217" s="40">
        <v>1121.7777120000001</v>
      </c>
    </row>
    <row r="218" spans="1:7" hidden="1" x14ac:dyDescent="0.25">
      <c r="A218" s="34" t="s">
        <v>750</v>
      </c>
      <c r="B218" s="19" t="s">
        <v>201</v>
      </c>
      <c r="C218" s="20">
        <v>521176</v>
      </c>
      <c r="D218" s="16" t="s">
        <v>212</v>
      </c>
      <c r="E218" s="30"/>
      <c r="F218" s="29"/>
      <c r="G218" s="40">
        <v>1120.3327079999999</v>
      </c>
    </row>
    <row r="219" spans="1:7" hidden="1" x14ac:dyDescent="0.25">
      <c r="A219" s="34" t="s">
        <v>751</v>
      </c>
      <c r="B219" s="19" t="s">
        <v>201</v>
      </c>
      <c r="C219" s="20">
        <v>521180</v>
      </c>
      <c r="D219" s="16" t="s">
        <v>213</v>
      </c>
      <c r="E219" s="30"/>
      <c r="F219" s="29"/>
      <c r="G219" s="40">
        <v>69.295248000000001</v>
      </c>
    </row>
    <row r="220" spans="1:7" hidden="1" x14ac:dyDescent="0.25">
      <c r="A220" s="34" t="s">
        <v>752</v>
      </c>
      <c r="B220" s="19" t="s">
        <v>201</v>
      </c>
      <c r="C220" s="20">
        <v>520272</v>
      </c>
      <c r="D220" s="16" t="s">
        <v>330</v>
      </c>
      <c r="E220" s="30"/>
      <c r="F220" s="29"/>
      <c r="G220" s="40">
        <v>99.088307999999984</v>
      </c>
    </row>
    <row r="221" spans="1:7" hidden="1" x14ac:dyDescent="0.25">
      <c r="A221" s="34" t="s">
        <v>753</v>
      </c>
      <c r="B221" s="19" t="s">
        <v>201</v>
      </c>
      <c r="C221" s="20" t="s">
        <v>501</v>
      </c>
      <c r="D221" s="16" t="s">
        <v>214</v>
      </c>
      <c r="E221" s="30"/>
      <c r="F221" s="29"/>
      <c r="G221" s="40">
        <v>907.933356</v>
      </c>
    </row>
    <row r="222" spans="1:7" hidden="1" x14ac:dyDescent="0.25">
      <c r="A222" s="34" t="s">
        <v>754</v>
      </c>
      <c r="B222" s="19" t="s">
        <v>201</v>
      </c>
      <c r="C222" s="20" t="s">
        <v>502</v>
      </c>
      <c r="D222" s="16" t="s">
        <v>215</v>
      </c>
      <c r="E222" s="30"/>
      <c r="F222" s="29"/>
      <c r="G222" s="40">
        <v>216.88048800000001</v>
      </c>
    </row>
    <row r="223" spans="1:7" hidden="1" x14ac:dyDescent="0.25">
      <c r="A223" s="36" t="s">
        <v>755</v>
      </c>
      <c r="B223" s="19" t="s">
        <v>201</v>
      </c>
      <c r="C223" s="24" t="s">
        <v>503</v>
      </c>
      <c r="D223" s="24" t="s">
        <v>504</v>
      </c>
      <c r="E223" s="30"/>
      <c r="F223" s="29"/>
      <c r="G223" s="40">
        <v>157.748976</v>
      </c>
    </row>
    <row r="224" spans="1:7" hidden="1" x14ac:dyDescent="0.25">
      <c r="A224" s="34" t="s">
        <v>756</v>
      </c>
      <c r="B224" s="19" t="s">
        <v>201</v>
      </c>
      <c r="C224" s="20">
        <v>618031</v>
      </c>
      <c r="D224" s="16" t="s">
        <v>216</v>
      </c>
      <c r="E224" s="30"/>
      <c r="F224" s="29"/>
      <c r="G224" s="40">
        <v>487.30730399999999</v>
      </c>
    </row>
    <row r="225" spans="1:7" hidden="1" x14ac:dyDescent="0.25">
      <c r="A225" s="34" t="s">
        <v>757</v>
      </c>
      <c r="B225" s="19" t="s">
        <v>201</v>
      </c>
      <c r="C225" s="20">
        <v>522104</v>
      </c>
      <c r="D225" s="16" t="s">
        <v>217</v>
      </c>
      <c r="E225" s="30"/>
      <c r="F225" s="29"/>
      <c r="G225" s="40">
        <v>943.00311599999975</v>
      </c>
    </row>
    <row r="226" spans="1:7" x14ac:dyDescent="0.25">
      <c r="A226" s="34" t="s">
        <v>758</v>
      </c>
      <c r="B226" s="19" t="s">
        <v>218</v>
      </c>
      <c r="C226" s="20">
        <v>620425</v>
      </c>
      <c r="D226" s="16" t="s">
        <v>220</v>
      </c>
      <c r="E226" s="30"/>
      <c r="F226" s="29"/>
      <c r="G226" s="40">
        <v>665.26</v>
      </c>
    </row>
    <row r="227" spans="1:7" x14ac:dyDescent="0.25">
      <c r="A227" s="34" t="s">
        <v>759</v>
      </c>
      <c r="B227" s="19" t="s">
        <v>218</v>
      </c>
      <c r="C227" s="20">
        <v>602144</v>
      </c>
      <c r="D227" s="16" t="s">
        <v>322</v>
      </c>
      <c r="E227" s="30"/>
      <c r="F227" s="29"/>
      <c r="G227" s="40">
        <v>702.64537199999984</v>
      </c>
    </row>
    <row r="228" spans="1:7" x14ac:dyDescent="0.25">
      <c r="A228" s="34" t="s">
        <v>760</v>
      </c>
      <c r="B228" s="19" t="s">
        <v>218</v>
      </c>
      <c r="C228" s="20">
        <v>602153</v>
      </c>
      <c r="D228" s="16" t="s">
        <v>227</v>
      </c>
      <c r="E228" s="30"/>
      <c r="F228" s="29"/>
      <c r="G228" s="40">
        <v>1159.9972560000001</v>
      </c>
    </row>
    <row r="229" spans="1:7" x14ac:dyDescent="0.25">
      <c r="A229" s="34" t="s">
        <v>761</v>
      </c>
      <c r="B229" s="19" t="s">
        <v>218</v>
      </c>
      <c r="C229" s="20">
        <v>602199</v>
      </c>
      <c r="D229" s="16" t="s">
        <v>230</v>
      </c>
      <c r="E229" s="30"/>
      <c r="F229" s="29"/>
      <c r="G229" s="40">
        <v>1302.7604040000001</v>
      </c>
    </row>
    <row r="230" spans="1:7" x14ac:dyDescent="0.25">
      <c r="A230" s="34" t="s">
        <v>762</v>
      </c>
      <c r="B230" s="19" t="s">
        <v>218</v>
      </c>
      <c r="C230" s="20">
        <v>602145</v>
      </c>
      <c r="D230" s="16" t="s">
        <v>323</v>
      </c>
      <c r="E230" s="30"/>
      <c r="F230" s="29"/>
      <c r="G230" s="40">
        <v>705.53537999999992</v>
      </c>
    </row>
    <row r="231" spans="1:7" x14ac:dyDescent="0.25">
      <c r="A231" s="34" t="s">
        <v>763</v>
      </c>
      <c r="B231" s="19" t="s">
        <v>218</v>
      </c>
      <c r="C231" s="20">
        <v>618017</v>
      </c>
      <c r="D231" s="16" t="s">
        <v>232</v>
      </c>
      <c r="E231" s="30"/>
      <c r="F231" s="29"/>
      <c r="G231" s="40">
        <v>906.0824520000001</v>
      </c>
    </row>
    <row r="232" spans="1:7" x14ac:dyDescent="0.25">
      <c r="A232" s="34" t="s">
        <v>764</v>
      </c>
      <c r="B232" s="19" t="s">
        <v>218</v>
      </c>
      <c r="C232" s="20">
        <v>602152</v>
      </c>
      <c r="D232" s="16" t="s">
        <v>226</v>
      </c>
      <c r="E232" s="30"/>
      <c r="F232" s="29"/>
      <c r="G232" s="40">
        <v>987.61964399999988</v>
      </c>
    </row>
    <row r="233" spans="1:7" x14ac:dyDescent="0.25">
      <c r="A233" s="34" t="s">
        <v>765</v>
      </c>
      <c r="B233" s="19" t="s">
        <v>218</v>
      </c>
      <c r="C233" s="20">
        <v>602198</v>
      </c>
      <c r="D233" s="16" t="s">
        <v>229</v>
      </c>
      <c r="E233" s="30"/>
      <c r="F233" s="29"/>
      <c r="G233" s="40">
        <v>835.73186400000009</v>
      </c>
    </row>
    <row r="234" spans="1:7" x14ac:dyDescent="0.25">
      <c r="A234" s="34" t="s">
        <v>766</v>
      </c>
      <c r="B234" s="19" t="s">
        <v>218</v>
      </c>
      <c r="C234" s="20">
        <v>602154</v>
      </c>
      <c r="D234" s="16" t="s">
        <v>228</v>
      </c>
      <c r="E234" s="30"/>
      <c r="F234" s="29"/>
      <c r="G234" s="40">
        <v>1165.7610359999999</v>
      </c>
    </row>
    <row r="235" spans="1:7" x14ac:dyDescent="0.25">
      <c r="A235" s="34" t="s">
        <v>767</v>
      </c>
      <c r="B235" s="19" t="s">
        <v>218</v>
      </c>
      <c r="C235" s="20">
        <v>602146</v>
      </c>
      <c r="D235" s="16" t="s">
        <v>324</v>
      </c>
      <c r="E235" s="30"/>
      <c r="F235" s="29"/>
      <c r="G235" s="40">
        <v>829.85443199999986</v>
      </c>
    </row>
    <row r="236" spans="1:7" x14ac:dyDescent="0.25">
      <c r="A236" s="34" t="s">
        <v>768</v>
      </c>
      <c r="B236" s="19" t="s">
        <v>218</v>
      </c>
      <c r="C236" s="20">
        <v>618016</v>
      </c>
      <c r="D236" s="16" t="s">
        <v>231</v>
      </c>
      <c r="E236" s="30"/>
      <c r="F236" s="29"/>
      <c r="G236" s="40">
        <v>846.83728799999994</v>
      </c>
    </row>
    <row r="237" spans="1:7" x14ac:dyDescent="0.25">
      <c r="A237" s="34" t="s">
        <v>769</v>
      </c>
      <c r="B237" s="19" t="s">
        <v>218</v>
      </c>
      <c r="C237" s="20">
        <v>602142</v>
      </c>
      <c r="D237" s="16" t="s">
        <v>325</v>
      </c>
      <c r="E237" s="30"/>
      <c r="F237" s="29"/>
      <c r="G237" s="40">
        <v>1170.9240840000002</v>
      </c>
    </row>
    <row r="238" spans="1:7" x14ac:dyDescent="0.25">
      <c r="A238" s="34" t="s">
        <v>770</v>
      </c>
      <c r="B238" s="19" t="s">
        <v>218</v>
      </c>
      <c r="C238" s="20">
        <v>620426</v>
      </c>
      <c r="D238" s="16" t="s">
        <v>221</v>
      </c>
      <c r="E238" s="30"/>
      <c r="F238" s="29"/>
      <c r="G238" s="40">
        <v>730.24657199999979</v>
      </c>
    </row>
    <row r="239" spans="1:7" x14ac:dyDescent="0.25">
      <c r="A239" s="34" t="s">
        <v>771</v>
      </c>
      <c r="B239" s="19" t="s">
        <v>218</v>
      </c>
      <c r="C239" s="20">
        <v>620429</v>
      </c>
      <c r="D239" s="16" t="s">
        <v>223</v>
      </c>
      <c r="E239" s="30"/>
      <c r="F239" s="29"/>
      <c r="G239" s="40">
        <v>511.38529199999994</v>
      </c>
    </row>
    <row r="240" spans="1:7" x14ac:dyDescent="0.25">
      <c r="A240" s="34" t="s">
        <v>772</v>
      </c>
      <c r="B240" s="19" t="s">
        <v>218</v>
      </c>
      <c r="C240" s="20">
        <v>620424</v>
      </c>
      <c r="D240" s="16" t="s">
        <v>219</v>
      </c>
      <c r="E240" s="30"/>
      <c r="F240" s="29"/>
      <c r="G240" s="40">
        <v>484.61212799999998</v>
      </c>
    </row>
    <row r="241" spans="1:7" x14ac:dyDescent="0.25">
      <c r="A241" s="34" t="s">
        <v>773</v>
      </c>
      <c r="B241" s="19" t="s">
        <v>218</v>
      </c>
      <c r="C241" s="20">
        <v>620430</v>
      </c>
      <c r="D241" s="16" t="s">
        <v>224</v>
      </c>
      <c r="E241" s="30"/>
      <c r="F241" s="29"/>
      <c r="G241" s="40">
        <v>592.15939200000003</v>
      </c>
    </row>
    <row r="242" spans="1:7" x14ac:dyDescent="0.25">
      <c r="A242" s="34" t="s">
        <v>774</v>
      </c>
      <c r="B242" s="19" t="s">
        <v>218</v>
      </c>
      <c r="C242" s="20">
        <v>620428</v>
      </c>
      <c r="D242" s="16" t="s">
        <v>222</v>
      </c>
      <c r="E242" s="30"/>
      <c r="F242" s="29"/>
      <c r="G242" s="40">
        <v>409.99147199999993</v>
      </c>
    </row>
    <row r="243" spans="1:7" x14ac:dyDescent="0.25">
      <c r="A243" s="34" t="s">
        <v>775</v>
      </c>
      <c r="B243" s="19" t="s">
        <v>218</v>
      </c>
      <c r="C243" s="20" t="s">
        <v>374</v>
      </c>
      <c r="D243" s="16" t="s">
        <v>326</v>
      </c>
      <c r="E243" s="30"/>
      <c r="F243" s="29"/>
      <c r="G243" s="40">
        <v>37.829879999999996</v>
      </c>
    </row>
    <row r="244" spans="1:7" x14ac:dyDescent="0.25">
      <c r="A244" s="34" t="s">
        <v>776</v>
      </c>
      <c r="B244" s="19" t="s">
        <v>218</v>
      </c>
      <c r="C244" s="20">
        <v>618040</v>
      </c>
      <c r="D244" s="16" t="s">
        <v>225</v>
      </c>
      <c r="E244" s="30"/>
      <c r="F244" s="29"/>
      <c r="G244" s="40">
        <v>32.536943999999991</v>
      </c>
    </row>
    <row r="245" spans="1:7" x14ac:dyDescent="0.25">
      <c r="A245" s="34" t="s">
        <v>777</v>
      </c>
      <c r="B245" s="19" t="s">
        <v>218</v>
      </c>
      <c r="C245" s="20">
        <v>619963</v>
      </c>
      <c r="D245" s="16" t="s">
        <v>237</v>
      </c>
      <c r="E245" s="30"/>
      <c r="F245" s="29"/>
      <c r="G245" s="40">
        <v>184.652028</v>
      </c>
    </row>
    <row r="246" spans="1:7" x14ac:dyDescent="0.25">
      <c r="A246" s="34" t="s">
        <v>778</v>
      </c>
      <c r="B246" s="19" t="s">
        <v>218</v>
      </c>
      <c r="C246" s="20">
        <v>79206700</v>
      </c>
      <c r="D246" s="16" t="s">
        <v>327</v>
      </c>
      <c r="E246" s="30"/>
      <c r="F246" s="29"/>
      <c r="G246" s="40">
        <v>85.677372000000005</v>
      </c>
    </row>
    <row r="247" spans="1:7" x14ac:dyDescent="0.25">
      <c r="A247" s="34" t="s">
        <v>779</v>
      </c>
      <c r="B247" s="19" t="s">
        <v>218</v>
      </c>
      <c r="C247" s="20">
        <v>79206600</v>
      </c>
      <c r="D247" s="16" t="s">
        <v>328</v>
      </c>
      <c r="E247" s="30"/>
      <c r="F247" s="29"/>
      <c r="G247" s="40">
        <v>80.092187999999993</v>
      </c>
    </row>
    <row r="248" spans="1:7" x14ac:dyDescent="0.25">
      <c r="A248" s="34" t="s">
        <v>780</v>
      </c>
      <c r="B248" s="19" t="s">
        <v>218</v>
      </c>
      <c r="C248" s="20" t="s">
        <v>781</v>
      </c>
      <c r="D248" s="16" t="s">
        <v>329</v>
      </c>
      <c r="E248" s="30"/>
      <c r="F248" s="29"/>
      <c r="G248" s="40">
        <v>1681.2215639999997</v>
      </c>
    </row>
    <row r="249" spans="1:7" x14ac:dyDescent="0.25">
      <c r="A249" s="34" t="s">
        <v>782</v>
      </c>
      <c r="B249" s="19" t="s">
        <v>218</v>
      </c>
      <c r="C249" s="20" t="s">
        <v>783</v>
      </c>
      <c r="D249" s="16" t="s">
        <v>233</v>
      </c>
      <c r="E249" s="30"/>
      <c r="F249" s="29"/>
      <c r="G249" s="40">
        <v>123.88068</v>
      </c>
    </row>
    <row r="250" spans="1:7" x14ac:dyDescent="0.25">
      <c r="A250" s="34" t="s">
        <v>784</v>
      </c>
      <c r="B250" s="19" t="s">
        <v>218</v>
      </c>
      <c r="C250" s="20" t="s">
        <v>785</v>
      </c>
      <c r="D250" s="16" t="s">
        <v>235</v>
      </c>
      <c r="E250" s="30"/>
      <c r="F250" s="29"/>
      <c r="G250" s="40">
        <v>72.136548000000005</v>
      </c>
    </row>
    <row r="251" spans="1:7" x14ac:dyDescent="0.25">
      <c r="A251" s="34" t="s">
        <v>786</v>
      </c>
      <c r="B251" s="19" t="s">
        <v>218</v>
      </c>
      <c r="C251" s="20" t="s">
        <v>787</v>
      </c>
      <c r="D251" s="16" t="s">
        <v>234</v>
      </c>
      <c r="E251" s="30"/>
      <c r="F251" s="29"/>
      <c r="G251" s="40">
        <v>241.98134399999998</v>
      </c>
    </row>
    <row r="252" spans="1:7" x14ac:dyDescent="0.25">
      <c r="A252" s="34" t="s">
        <v>788</v>
      </c>
      <c r="B252" s="19" t="s">
        <v>218</v>
      </c>
      <c r="C252" s="20" t="s">
        <v>789</v>
      </c>
      <c r="D252" s="16" t="s">
        <v>236</v>
      </c>
      <c r="E252" s="30"/>
      <c r="F252" s="29"/>
      <c r="G252" s="40">
        <v>130.34260799999998</v>
      </c>
    </row>
    <row r="253" spans="1:7" hidden="1" x14ac:dyDescent="0.25">
      <c r="A253" s="34" t="s">
        <v>790</v>
      </c>
      <c r="B253" s="19" t="s">
        <v>263</v>
      </c>
      <c r="C253" s="20">
        <v>460737</v>
      </c>
      <c r="D253" s="16" t="s">
        <v>331</v>
      </c>
      <c r="E253" s="30"/>
      <c r="F253" s="29"/>
      <c r="G253" s="40">
        <v>4512.3253559999994</v>
      </c>
    </row>
    <row r="254" spans="1:7" hidden="1" x14ac:dyDescent="0.25">
      <c r="A254" s="34" t="s">
        <v>791</v>
      </c>
      <c r="B254" s="19" t="s">
        <v>263</v>
      </c>
      <c r="C254" s="20">
        <v>460733</v>
      </c>
      <c r="D254" s="16" t="s">
        <v>332</v>
      </c>
      <c r="E254" s="30"/>
      <c r="F254" s="29"/>
      <c r="G254" s="40">
        <v>3507.1708319999998</v>
      </c>
    </row>
    <row r="255" spans="1:7" hidden="1" x14ac:dyDescent="0.25">
      <c r="A255" s="34" t="s">
        <v>792</v>
      </c>
      <c r="B255" s="19" t="s">
        <v>263</v>
      </c>
      <c r="C255" s="20" t="s">
        <v>505</v>
      </c>
      <c r="D255" s="16" t="s">
        <v>333</v>
      </c>
      <c r="E255" s="30"/>
      <c r="F255" s="29"/>
      <c r="G255" s="40">
        <v>117.04532399999999</v>
      </c>
    </row>
    <row r="256" spans="1:7" hidden="1" x14ac:dyDescent="0.25">
      <c r="A256" s="34" t="s">
        <v>793</v>
      </c>
      <c r="B256" s="19" t="s">
        <v>263</v>
      </c>
      <c r="C256" s="20" t="s">
        <v>506</v>
      </c>
      <c r="D256" s="16" t="s">
        <v>334</v>
      </c>
      <c r="E256" s="30"/>
      <c r="F256" s="29"/>
      <c r="G256" s="40">
        <v>155.70324000000002</v>
      </c>
    </row>
    <row r="257" spans="1:7" hidden="1" x14ac:dyDescent="0.25">
      <c r="A257" s="34" t="s">
        <v>794</v>
      </c>
      <c r="B257" s="19" t="s">
        <v>263</v>
      </c>
      <c r="C257" s="20" t="s">
        <v>507</v>
      </c>
      <c r="D257" s="16" t="s">
        <v>335</v>
      </c>
      <c r="E257" s="30"/>
      <c r="F257" s="29"/>
      <c r="G257" s="40">
        <v>124.05927599999998</v>
      </c>
    </row>
    <row r="258" spans="1:7" hidden="1" x14ac:dyDescent="0.25">
      <c r="A258" s="34" t="s">
        <v>795</v>
      </c>
      <c r="B258" s="19" t="s">
        <v>263</v>
      </c>
      <c r="C258" s="20" t="s">
        <v>508</v>
      </c>
      <c r="D258" s="16" t="s">
        <v>336</v>
      </c>
      <c r="E258" s="30"/>
      <c r="F258" s="29"/>
      <c r="G258" s="40">
        <v>98.568755999999993</v>
      </c>
    </row>
    <row r="259" spans="1:7" hidden="1" x14ac:dyDescent="0.25">
      <c r="A259" s="34" t="s">
        <v>796</v>
      </c>
      <c r="B259" s="19" t="s">
        <v>263</v>
      </c>
      <c r="C259" s="20" t="s">
        <v>509</v>
      </c>
      <c r="D259" s="16" t="s">
        <v>337</v>
      </c>
      <c r="E259" s="30"/>
      <c r="F259" s="29"/>
      <c r="G259" s="40">
        <v>170.16951599999999</v>
      </c>
    </row>
    <row r="260" spans="1:7" hidden="1" x14ac:dyDescent="0.25">
      <c r="A260" s="34" t="s">
        <v>797</v>
      </c>
      <c r="B260" s="19" t="s">
        <v>263</v>
      </c>
      <c r="C260" s="20">
        <v>461105</v>
      </c>
      <c r="D260" s="16" t="s">
        <v>338</v>
      </c>
      <c r="E260" s="30"/>
      <c r="F260" s="29"/>
      <c r="G260" s="40">
        <v>788.80982399999994</v>
      </c>
    </row>
    <row r="261" spans="1:7" hidden="1" x14ac:dyDescent="0.25">
      <c r="A261" s="34" t="s">
        <v>798</v>
      </c>
      <c r="B261" s="19" t="s">
        <v>263</v>
      </c>
      <c r="C261" s="20" t="s">
        <v>510</v>
      </c>
      <c r="D261" s="16" t="s">
        <v>339</v>
      </c>
      <c r="E261" s="30"/>
      <c r="F261" s="29"/>
      <c r="G261" s="40">
        <v>124.30281600000001</v>
      </c>
    </row>
    <row r="262" spans="1:7" hidden="1" x14ac:dyDescent="0.25">
      <c r="A262" s="34" t="s">
        <v>799</v>
      </c>
      <c r="B262" s="19" t="s">
        <v>263</v>
      </c>
      <c r="C262" s="20" t="s">
        <v>511</v>
      </c>
      <c r="D262" s="16" t="s">
        <v>340</v>
      </c>
      <c r="E262" s="30"/>
      <c r="F262" s="29"/>
      <c r="G262" s="40">
        <v>195.90357599999999</v>
      </c>
    </row>
    <row r="263" spans="1:7" hidden="1" x14ac:dyDescent="0.25">
      <c r="A263" s="34" t="s">
        <v>800</v>
      </c>
      <c r="B263" s="19" t="s">
        <v>263</v>
      </c>
      <c r="C263" s="20" t="s">
        <v>512</v>
      </c>
      <c r="D263" s="16" t="s">
        <v>341</v>
      </c>
      <c r="E263" s="30"/>
      <c r="F263" s="29"/>
      <c r="G263" s="40">
        <v>536.11271999999985</v>
      </c>
    </row>
    <row r="264" spans="1:7" hidden="1" x14ac:dyDescent="0.25">
      <c r="A264" s="34" t="s">
        <v>801</v>
      </c>
      <c r="B264" s="19" t="s">
        <v>263</v>
      </c>
      <c r="C264" s="20">
        <v>460748</v>
      </c>
      <c r="D264" s="16" t="s">
        <v>342</v>
      </c>
      <c r="E264" s="30"/>
      <c r="F264" s="29"/>
      <c r="G264" s="40">
        <v>774.47343599999999</v>
      </c>
    </row>
    <row r="265" spans="1:7" hidden="1" x14ac:dyDescent="0.25">
      <c r="A265" s="34" t="s">
        <v>802</v>
      </c>
      <c r="B265" s="19" t="s">
        <v>263</v>
      </c>
      <c r="C265" s="20" t="s">
        <v>513</v>
      </c>
      <c r="D265" s="16" t="s">
        <v>343</v>
      </c>
      <c r="E265" s="30"/>
      <c r="F265" s="29"/>
      <c r="G265" s="40">
        <v>147.32546399999998</v>
      </c>
    </row>
    <row r="266" spans="1:7" hidden="1" x14ac:dyDescent="0.25">
      <c r="A266" s="34" t="s">
        <v>803</v>
      </c>
      <c r="B266" s="19" t="s">
        <v>263</v>
      </c>
      <c r="C266" s="16" t="s">
        <v>514</v>
      </c>
      <c r="D266" s="16" t="s">
        <v>344</v>
      </c>
      <c r="E266" s="30"/>
      <c r="F266" s="29"/>
      <c r="G266" s="40">
        <v>1382.8201200000001</v>
      </c>
    </row>
    <row r="267" spans="1:7" hidden="1" x14ac:dyDescent="0.25">
      <c r="A267" s="34" t="s">
        <v>515</v>
      </c>
      <c r="B267" s="19" t="s">
        <v>263</v>
      </c>
      <c r="C267" s="16" t="s">
        <v>515</v>
      </c>
      <c r="D267" s="16" t="s">
        <v>264</v>
      </c>
      <c r="E267" s="30"/>
      <c r="F267" s="29"/>
      <c r="G267" s="40">
        <v>6583.6979999999994</v>
      </c>
    </row>
    <row r="268" spans="1:7" hidden="1" x14ac:dyDescent="0.25">
      <c r="A268" s="34" t="s">
        <v>516</v>
      </c>
      <c r="B268" s="19" t="s">
        <v>263</v>
      </c>
      <c r="C268" s="16" t="s">
        <v>516</v>
      </c>
      <c r="D268" s="16" t="s">
        <v>265</v>
      </c>
      <c r="E268" s="30"/>
      <c r="F268" s="29"/>
      <c r="G268" s="40">
        <v>7338.6719999999987</v>
      </c>
    </row>
    <row r="269" spans="1:7" hidden="1" x14ac:dyDescent="0.25">
      <c r="A269" s="34" t="s">
        <v>804</v>
      </c>
      <c r="B269" s="16" t="s">
        <v>263</v>
      </c>
      <c r="C269" s="20">
        <v>17745</v>
      </c>
      <c r="D269" s="16" t="s">
        <v>345</v>
      </c>
      <c r="E269" s="30"/>
      <c r="F269" s="29"/>
      <c r="G269" s="40">
        <v>3715.4462400000002</v>
      </c>
    </row>
    <row r="270" spans="1:7" hidden="1" x14ac:dyDescent="0.25">
      <c r="A270" s="34" t="s">
        <v>805</v>
      </c>
      <c r="B270" s="19" t="s">
        <v>263</v>
      </c>
      <c r="C270" s="20">
        <v>460958</v>
      </c>
      <c r="D270" s="16" t="s">
        <v>266</v>
      </c>
      <c r="E270" s="30"/>
      <c r="F270" s="29"/>
      <c r="G270" s="40">
        <v>7988.4204839999993</v>
      </c>
    </row>
    <row r="271" spans="1:7" hidden="1" x14ac:dyDescent="0.25">
      <c r="A271" s="37" t="s">
        <v>806</v>
      </c>
      <c r="B271" s="19" t="s">
        <v>807</v>
      </c>
      <c r="C271" s="20">
        <v>506300</v>
      </c>
      <c r="D271" s="16" t="s">
        <v>808</v>
      </c>
      <c r="E271" s="30"/>
      <c r="F271" s="29"/>
      <c r="G271" s="40">
        <v>295.98228</v>
      </c>
    </row>
    <row r="272" spans="1:7" hidden="1" x14ac:dyDescent="0.25">
      <c r="A272" s="37" t="s">
        <v>809</v>
      </c>
      <c r="B272" s="19" t="s">
        <v>807</v>
      </c>
      <c r="C272" s="20">
        <v>84420800</v>
      </c>
      <c r="D272" s="16" t="s">
        <v>810</v>
      </c>
      <c r="E272" s="30"/>
      <c r="F272" s="29"/>
      <c r="G272" s="40">
        <v>188.32136399999999</v>
      </c>
    </row>
    <row r="273" spans="1:7" hidden="1" x14ac:dyDescent="0.25">
      <c r="A273" s="37" t="s">
        <v>811</v>
      </c>
      <c r="B273" s="19" t="s">
        <v>807</v>
      </c>
      <c r="C273" s="16" t="s">
        <v>812</v>
      </c>
      <c r="D273" s="16" t="s">
        <v>813</v>
      </c>
      <c r="E273" s="30"/>
      <c r="F273" s="29"/>
      <c r="G273" s="40">
        <v>363.02072399999997</v>
      </c>
    </row>
    <row r="274" spans="1:7" hidden="1" x14ac:dyDescent="0.25">
      <c r="A274" s="37" t="s">
        <v>814</v>
      </c>
      <c r="B274" s="19" t="s">
        <v>807</v>
      </c>
      <c r="C274" s="16" t="s">
        <v>815</v>
      </c>
      <c r="D274" s="16" t="s">
        <v>816</v>
      </c>
      <c r="E274" s="30"/>
      <c r="F274" s="29"/>
      <c r="G274" s="40">
        <v>37.732463999999993</v>
      </c>
    </row>
    <row r="275" spans="1:7" hidden="1" x14ac:dyDescent="0.25">
      <c r="A275" s="37" t="s">
        <v>817</v>
      </c>
      <c r="B275" s="19" t="s">
        <v>807</v>
      </c>
      <c r="C275" s="16" t="s">
        <v>818</v>
      </c>
      <c r="D275" s="16" t="s">
        <v>819</v>
      </c>
      <c r="E275" s="30"/>
      <c r="F275" s="29"/>
      <c r="G275" s="40">
        <v>53.465147999999999</v>
      </c>
    </row>
    <row r="276" spans="1:7" hidden="1" x14ac:dyDescent="0.25">
      <c r="A276" s="37" t="s">
        <v>820</v>
      </c>
      <c r="B276" s="19" t="s">
        <v>807</v>
      </c>
      <c r="C276" s="16" t="s">
        <v>821</v>
      </c>
      <c r="D276" s="16" t="s">
        <v>822</v>
      </c>
      <c r="E276" s="30"/>
      <c r="F276" s="29"/>
      <c r="G276" s="40">
        <v>14.661108</v>
      </c>
    </row>
    <row r="277" spans="1:7" hidden="1" x14ac:dyDescent="0.25">
      <c r="A277" s="37" t="s">
        <v>823</v>
      </c>
      <c r="B277" s="19" t="s">
        <v>807</v>
      </c>
      <c r="C277" s="16" t="s">
        <v>824</v>
      </c>
      <c r="D277" s="16" t="s">
        <v>825</v>
      </c>
      <c r="E277" s="30"/>
      <c r="F277" s="29"/>
      <c r="G277" s="40">
        <v>39.161232000000005</v>
      </c>
    </row>
    <row r="278" spans="1:7" hidden="1" x14ac:dyDescent="0.25">
      <c r="A278" s="37" t="s">
        <v>826</v>
      </c>
      <c r="B278" s="19" t="s">
        <v>807</v>
      </c>
      <c r="C278" s="20">
        <v>85001500</v>
      </c>
      <c r="D278" s="16" t="s">
        <v>827</v>
      </c>
      <c r="E278" s="30"/>
      <c r="F278" s="29"/>
      <c r="G278" s="40">
        <v>47.214287999999996</v>
      </c>
    </row>
    <row r="279" spans="1:7" hidden="1" x14ac:dyDescent="0.25">
      <c r="A279" s="37" t="s">
        <v>828</v>
      </c>
      <c r="B279" s="19" t="s">
        <v>807</v>
      </c>
      <c r="C279" s="20">
        <v>516215</v>
      </c>
      <c r="D279" s="16" t="s">
        <v>829</v>
      </c>
      <c r="E279" s="30"/>
      <c r="F279" s="29"/>
      <c r="G279" s="40">
        <v>46.094003999999998</v>
      </c>
    </row>
    <row r="280" spans="1:7" hidden="1" x14ac:dyDescent="0.25">
      <c r="A280" s="37" t="s">
        <v>830</v>
      </c>
      <c r="B280" s="19" t="s">
        <v>807</v>
      </c>
      <c r="C280" s="20">
        <v>85000600</v>
      </c>
      <c r="D280" s="16" t="s">
        <v>831</v>
      </c>
      <c r="E280" s="30"/>
      <c r="F280" s="29"/>
      <c r="G280" s="40">
        <v>27.065412000000002</v>
      </c>
    </row>
    <row r="281" spans="1:7" hidden="1" x14ac:dyDescent="0.25">
      <c r="A281" s="37" t="s">
        <v>832</v>
      </c>
      <c r="B281" s="19" t="s">
        <v>807</v>
      </c>
      <c r="C281" s="20">
        <v>516253</v>
      </c>
      <c r="D281" s="16" t="s">
        <v>833</v>
      </c>
      <c r="E281" s="30"/>
      <c r="F281" s="29"/>
      <c r="G281" s="40">
        <v>40.703651999999998</v>
      </c>
    </row>
    <row r="282" spans="1:7" hidden="1" x14ac:dyDescent="0.25">
      <c r="A282" s="37" t="s">
        <v>834</v>
      </c>
      <c r="B282" s="19" t="s">
        <v>807</v>
      </c>
      <c r="C282" s="16" t="s">
        <v>835</v>
      </c>
      <c r="D282" s="16" t="s">
        <v>836</v>
      </c>
      <c r="E282" s="30"/>
      <c r="F282" s="29"/>
      <c r="G282" s="40">
        <v>62.670960000000008</v>
      </c>
    </row>
    <row r="283" spans="1:7" hidden="1" x14ac:dyDescent="0.25">
      <c r="A283" s="37" t="s">
        <v>837</v>
      </c>
      <c r="B283" s="19" t="s">
        <v>807</v>
      </c>
      <c r="C283" s="16" t="s">
        <v>838</v>
      </c>
      <c r="D283" s="16" t="s">
        <v>839</v>
      </c>
      <c r="E283" s="30"/>
      <c r="F283" s="29"/>
      <c r="G283" s="40">
        <v>69.993396000000004</v>
      </c>
    </row>
    <row r="284" spans="1:7" hidden="1" x14ac:dyDescent="0.25">
      <c r="A284" s="37" t="s">
        <v>840</v>
      </c>
      <c r="B284" s="19" t="s">
        <v>807</v>
      </c>
      <c r="C284" s="16" t="s">
        <v>841</v>
      </c>
      <c r="D284" s="16" t="s">
        <v>842</v>
      </c>
      <c r="E284" s="30"/>
      <c r="F284" s="29"/>
      <c r="G284" s="40">
        <v>338.34200399999997</v>
      </c>
    </row>
    <row r="285" spans="1:7" hidden="1" x14ac:dyDescent="0.25">
      <c r="A285" s="37" t="s">
        <v>843</v>
      </c>
      <c r="B285" s="19" t="s">
        <v>807</v>
      </c>
      <c r="C285" s="20">
        <v>289101</v>
      </c>
      <c r="D285" s="16" t="s">
        <v>844</v>
      </c>
      <c r="E285" s="30"/>
      <c r="F285" s="29"/>
      <c r="G285" s="40">
        <v>628.62544800000001</v>
      </c>
    </row>
    <row r="286" spans="1:7" hidden="1" x14ac:dyDescent="0.25">
      <c r="A286" s="37" t="s">
        <v>845</v>
      </c>
      <c r="B286" s="19" t="s">
        <v>807</v>
      </c>
      <c r="C286" s="16" t="s">
        <v>846</v>
      </c>
      <c r="D286" s="16" t="s">
        <v>847</v>
      </c>
      <c r="E286" s="30"/>
      <c r="F286" s="29"/>
      <c r="G286" s="40">
        <v>32.342112</v>
      </c>
    </row>
    <row r="287" spans="1:7" hidden="1" x14ac:dyDescent="0.25">
      <c r="A287" s="37" t="s">
        <v>848</v>
      </c>
      <c r="B287" s="19" t="s">
        <v>807</v>
      </c>
      <c r="C287" s="16" t="s">
        <v>849</v>
      </c>
      <c r="D287" s="16" t="s">
        <v>850</v>
      </c>
      <c r="E287" s="30"/>
      <c r="F287" s="29"/>
      <c r="G287" s="40">
        <v>110.989296</v>
      </c>
    </row>
    <row r="288" spans="1:7" hidden="1" x14ac:dyDescent="0.25">
      <c r="A288" s="37" t="s">
        <v>851</v>
      </c>
      <c r="B288" s="19" t="s">
        <v>807</v>
      </c>
      <c r="C288" s="16" t="s">
        <v>852</v>
      </c>
      <c r="D288" s="16" t="s">
        <v>853</v>
      </c>
      <c r="E288" s="30"/>
      <c r="F288" s="29"/>
      <c r="G288" s="40">
        <v>49.146371999999992</v>
      </c>
    </row>
    <row r="289" spans="1:7" hidden="1" x14ac:dyDescent="0.25">
      <c r="A289" s="37" t="s">
        <v>854</v>
      </c>
      <c r="B289" s="19" t="s">
        <v>807</v>
      </c>
      <c r="C289" s="16" t="s">
        <v>855</v>
      </c>
      <c r="D289" s="16" t="s">
        <v>856</v>
      </c>
      <c r="E289" s="30"/>
      <c r="F289" s="29"/>
      <c r="G289" s="40">
        <v>56.744820000000004</v>
      </c>
    </row>
    <row r="290" spans="1:7" hidden="1" x14ac:dyDescent="0.25">
      <c r="A290" s="37" t="s">
        <v>857</v>
      </c>
      <c r="B290" s="19" t="s">
        <v>807</v>
      </c>
      <c r="C290" s="16" t="s">
        <v>858</v>
      </c>
      <c r="D290" s="16" t="s">
        <v>859</v>
      </c>
      <c r="E290" s="30"/>
      <c r="F290" s="29"/>
      <c r="G290" s="40">
        <v>105.03068399999999</v>
      </c>
    </row>
    <row r="291" spans="1:7" hidden="1" x14ac:dyDescent="0.25">
      <c r="A291" s="37" t="s">
        <v>860</v>
      </c>
      <c r="B291" s="19" t="s">
        <v>807</v>
      </c>
      <c r="C291" s="16" t="s">
        <v>861</v>
      </c>
      <c r="D291" s="16" t="s">
        <v>862</v>
      </c>
      <c r="E291" s="30"/>
      <c r="F291" s="29"/>
      <c r="G291" s="40">
        <v>112.15828799999998</v>
      </c>
    </row>
    <row r="292" spans="1:7" hidden="1" x14ac:dyDescent="0.25">
      <c r="A292" s="37" t="s">
        <v>863</v>
      </c>
      <c r="B292" s="19" t="s">
        <v>807</v>
      </c>
      <c r="C292" s="16" t="s">
        <v>864</v>
      </c>
      <c r="D292" s="16" t="s">
        <v>865</v>
      </c>
      <c r="E292" s="30"/>
      <c r="F292" s="29"/>
      <c r="G292" s="40">
        <v>35.215883999999996</v>
      </c>
    </row>
    <row r="293" spans="1:7" hidden="1" x14ac:dyDescent="0.25">
      <c r="A293" s="37" t="s">
        <v>866</v>
      </c>
      <c r="B293" s="19" t="s">
        <v>807</v>
      </c>
      <c r="C293" s="16" t="s">
        <v>867</v>
      </c>
      <c r="D293" s="16" t="s">
        <v>868</v>
      </c>
      <c r="E293" s="30"/>
      <c r="F293" s="29"/>
      <c r="G293" s="40">
        <v>278.05773599999992</v>
      </c>
    </row>
    <row r="294" spans="1:7" hidden="1" x14ac:dyDescent="0.25">
      <c r="A294" s="37" t="s">
        <v>869</v>
      </c>
      <c r="B294" s="19" t="s">
        <v>807</v>
      </c>
      <c r="C294" s="16" t="s">
        <v>870</v>
      </c>
      <c r="D294" s="16" t="s">
        <v>871</v>
      </c>
      <c r="E294" s="30"/>
      <c r="F294" s="29"/>
      <c r="G294" s="40">
        <v>49.730868000000001</v>
      </c>
    </row>
    <row r="295" spans="1:7" hidden="1" x14ac:dyDescent="0.25">
      <c r="A295" s="37" t="s">
        <v>872</v>
      </c>
      <c r="B295" s="19" t="s">
        <v>807</v>
      </c>
      <c r="C295" s="16" t="s">
        <v>873</v>
      </c>
      <c r="D295" s="16" t="s">
        <v>874</v>
      </c>
      <c r="E295" s="30"/>
      <c r="F295" s="29"/>
      <c r="G295" s="40">
        <v>6.9977159999999987</v>
      </c>
    </row>
    <row r="296" spans="1:7" hidden="1" x14ac:dyDescent="0.25">
      <c r="A296" s="37" t="s">
        <v>875</v>
      </c>
      <c r="B296" s="19" t="s">
        <v>807</v>
      </c>
      <c r="C296" s="16" t="s">
        <v>876</v>
      </c>
      <c r="D296" s="16" t="s">
        <v>877</v>
      </c>
      <c r="E296" s="30"/>
      <c r="F296" s="29"/>
      <c r="G296" s="40">
        <v>34.063127999999992</v>
      </c>
    </row>
    <row r="297" spans="1:7" hidden="1" x14ac:dyDescent="0.25">
      <c r="A297" s="37" t="s">
        <v>878</v>
      </c>
      <c r="B297" s="19" t="s">
        <v>807</v>
      </c>
      <c r="C297" s="20">
        <v>355667</v>
      </c>
      <c r="D297" s="16" t="s">
        <v>879</v>
      </c>
      <c r="E297" s="30"/>
      <c r="F297" s="29"/>
      <c r="G297" s="40">
        <v>18.444095999999998</v>
      </c>
    </row>
    <row r="298" spans="1:7" hidden="1" x14ac:dyDescent="0.25">
      <c r="A298" s="37" t="s">
        <v>880</v>
      </c>
      <c r="B298" s="19" t="s">
        <v>807</v>
      </c>
      <c r="C298" s="16" t="s">
        <v>881</v>
      </c>
      <c r="D298" s="16" t="s">
        <v>882</v>
      </c>
      <c r="E298" s="30"/>
      <c r="F298" s="29"/>
      <c r="G298" s="40">
        <v>10.504691999999999</v>
      </c>
    </row>
    <row r="299" spans="1:7" hidden="1" x14ac:dyDescent="0.25">
      <c r="A299" s="37" t="s">
        <v>883</v>
      </c>
      <c r="B299" s="19" t="s">
        <v>807</v>
      </c>
      <c r="C299" s="20" t="s">
        <v>884</v>
      </c>
      <c r="D299" s="16" t="s">
        <v>885</v>
      </c>
      <c r="E299" s="30"/>
      <c r="F299" s="29"/>
      <c r="G299" s="40">
        <v>39.956795999999997</v>
      </c>
    </row>
    <row r="300" spans="1:7" hidden="1" x14ac:dyDescent="0.25">
      <c r="A300" s="37" t="s">
        <v>886</v>
      </c>
      <c r="B300" s="19" t="s">
        <v>807</v>
      </c>
      <c r="C300" s="20" t="s">
        <v>887</v>
      </c>
      <c r="D300" s="16" t="s">
        <v>888</v>
      </c>
      <c r="E300" s="30"/>
      <c r="F300" s="29"/>
      <c r="G300" s="40">
        <v>115.941276</v>
      </c>
    </row>
    <row r="301" spans="1:7" hidden="1" x14ac:dyDescent="0.25">
      <c r="A301" s="37" t="s">
        <v>889</v>
      </c>
      <c r="B301" s="19" t="s">
        <v>807</v>
      </c>
      <c r="C301" s="20" t="s">
        <v>890</v>
      </c>
      <c r="D301" s="16" t="s">
        <v>891</v>
      </c>
      <c r="E301" s="30"/>
      <c r="F301" s="29"/>
      <c r="G301" s="40">
        <v>5.5364759999999995</v>
      </c>
    </row>
    <row r="302" spans="1:7" hidden="1" x14ac:dyDescent="0.25">
      <c r="A302" s="37" t="s">
        <v>892</v>
      </c>
      <c r="B302" s="19" t="s">
        <v>807</v>
      </c>
      <c r="C302" s="20" t="s">
        <v>893</v>
      </c>
      <c r="D302" s="16" t="s">
        <v>894</v>
      </c>
      <c r="E302" s="30"/>
      <c r="F302" s="29"/>
      <c r="G302" s="40">
        <v>39.956795999999997</v>
      </c>
    </row>
    <row r="303" spans="1:7" hidden="1" x14ac:dyDescent="0.25">
      <c r="A303" s="37" t="s">
        <v>895</v>
      </c>
      <c r="B303" s="19" t="s">
        <v>807</v>
      </c>
      <c r="C303" s="20" t="s">
        <v>896</v>
      </c>
      <c r="D303" s="16" t="s">
        <v>897</v>
      </c>
      <c r="E303" s="30"/>
      <c r="F303" s="29"/>
      <c r="G303" s="40">
        <v>39.956795999999997</v>
      </c>
    </row>
    <row r="304" spans="1:7" hidden="1" x14ac:dyDescent="0.25">
      <c r="A304" s="37" t="s">
        <v>898</v>
      </c>
      <c r="B304" s="19" t="s">
        <v>807</v>
      </c>
      <c r="C304" s="20" t="s">
        <v>899</v>
      </c>
      <c r="D304" s="16" t="s">
        <v>900</v>
      </c>
      <c r="E304" s="30"/>
      <c r="F304" s="29"/>
      <c r="G304" s="40">
        <v>39.956795999999997</v>
      </c>
    </row>
    <row r="305" spans="1:7" hidden="1" x14ac:dyDescent="0.25">
      <c r="A305" s="37" t="s">
        <v>901</v>
      </c>
      <c r="B305" s="19" t="s">
        <v>807</v>
      </c>
      <c r="C305" s="16" t="s">
        <v>902</v>
      </c>
      <c r="D305" s="16" t="s">
        <v>903</v>
      </c>
      <c r="E305" s="30"/>
      <c r="F305" s="29"/>
      <c r="G305" s="40">
        <v>8.3777760000000008</v>
      </c>
    </row>
    <row r="306" spans="1:7" hidden="1" x14ac:dyDescent="0.25">
      <c r="A306" s="37" t="s">
        <v>904</v>
      </c>
      <c r="B306" s="19" t="s">
        <v>807</v>
      </c>
      <c r="C306" s="20" t="s">
        <v>905</v>
      </c>
      <c r="D306" s="16" t="s">
        <v>906</v>
      </c>
      <c r="E306" s="30"/>
      <c r="F306" s="29"/>
      <c r="G306" s="40">
        <v>38.739095999999989</v>
      </c>
    </row>
    <row r="307" spans="1:7" hidden="1" x14ac:dyDescent="0.25">
      <c r="A307" s="37" t="s">
        <v>907</v>
      </c>
      <c r="B307" s="19" t="s">
        <v>807</v>
      </c>
      <c r="C307" s="20" t="s">
        <v>908</v>
      </c>
      <c r="D307" s="16" t="s">
        <v>909</v>
      </c>
      <c r="E307" s="30"/>
      <c r="F307" s="29"/>
      <c r="G307" s="40">
        <v>418.06076400000001</v>
      </c>
    </row>
    <row r="308" spans="1:7" hidden="1" x14ac:dyDescent="0.25">
      <c r="A308" s="37" t="s">
        <v>910</v>
      </c>
      <c r="B308" s="19" t="s">
        <v>807</v>
      </c>
      <c r="C308" s="20" t="s">
        <v>911</v>
      </c>
      <c r="D308" s="16" t="s">
        <v>912</v>
      </c>
      <c r="E308" s="30"/>
      <c r="F308" s="29"/>
      <c r="G308" s="40">
        <v>418.06076400000001</v>
      </c>
    </row>
    <row r="309" spans="1:7" hidden="1" x14ac:dyDescent="0.25">
      <c r="A309" s="37" t="s">
        <v>913</v>
      </c>
      <c r="B309" s="19" t="s">
        <v>807</v>
      </c>
      <c r="C309" s="20" t="s">
        <v>914</v>
      </c>
      <c r="D309" s="16" t="s">
        <v>915</v>
      </c>
      <c r="E309" s="30"/>
      <c r="F309" s="29"/>
      <c r="G309" s="40">
        <v>418.06076400000001</v>
      </c>
    </row>
    <row r="310" spans="1:7" hidden="1" x14ac:dyDescent="0.25">
      <c r="A310" s="37" t="s">
        <v>916</v>
      </c>
      <c r="B310" s="19" t="s">
        <v>807</v>
      </c>
      <c r="C310" s="20" t="s">
        <v>917</v>
      </c>
      <c r="D310" s="16" t="s">
        <v>918</v>
      </c>
      <c r="E310" s="30"/>
      <c r="F310" s="29"/>
      <c r="G310" s="40">
        <v>198.74487599999998</v>
      </c>
    </row>
    <row r="311" spans="1:7" hidden="1" x14ac:dyDescent="0.25">
      <c r="A311" s="37" t="s">
        <v>919</v>
      </c>
      <c r="B311" s="19" t="s">
        <v>807</v>
      </c>
      <c r="C311" s="20" t="s">
        <v>920</v>
      </c>
      <c r="D311" s="16" t="s">
        <v>921</v>
      </c>
      <c r="E311" s="30"/>
      <c r="F311" s="29"/>
      <c r="G311" s="40">
        <v>199.26442800000001</v>
      </c>
    </row>
    <row r="312" spans="1:7" hidden="1" x14ac:dyDescent="0.25">
      <c r="A312" s="37" t="s">
        <v>922</v>
      </c>
      <c r="B312" s="19" t="s">
        <v>807</v>
      </c>
      <c r="C312" s="20" t="s">
        <v>923</v>
      </c>
      <c r="D312" s="16" t="s">
        <v>924</v>
      </c>
      <c r="E312" s="30"/>
      <c r="F312" s="29"/>
      <c r="G312" s="40">
        <v>199.26442800000001</v>
      </c>
    </row>
    <row r="313" spans="1:7" hidden="1" x14ac:dyDescent="0.25">
      <c r="A313" s="37" t="s">
        <v>925</v>
      </c>
      <c r="B313" s="19" t="s">
        <v>807</v>
      </c>
      <c r="C313" s="20" t="s">
        <v>926</v>
      </c>
      <c r="D313" s="16" t="s">
        <v>927</v>
      </c>
      <c r="E313" s="30"/>
      <c r="F313" s="29"/>
      <c r="G313" s="40">
        <v>198.74487599999998</v>
      </c>
    </row>
    <row r="314" spans="1:7" hidden="1" x14ac:dyDescent="0.25">
      <c r="A314" s="37" t="s">
        <v>928</v>
      </c>
      <c r="B314" s="19" t="s">
        <v>807</v>
      </c>
      <c r="C314" s="20" t="s">
        <v>929</v>
      </c>
      <c r="D314" s="16" t="s">
        <v>930</v>
      </c>
      <c r="E314" s="30"/>
      <c r="F314" s="29"/>
      <c r="G314" s="40">
        <v>199.26442800000001</v>
      </c>
    </row>
    <row r="315" spans="1:7" hidden="1" x14ac:dyDescent="0.25">
      <c r="A315" s="37" t="s">
        <v>931</v>
      </c>
      <c r="B315" s="19" t="s">
        <v>807</v>
      </c>
      <c r="C315" s="20" t="s">
        <v>932</v>
      </c>
      <c r="D315" s="16" t="s">
        <v>933</v>
      </c>
      <c r="E315" s="30"/>
      <c r="F315" s="29"/>
      <c r="G315" s="40">
        <v>198.74487599999998</v>
      </c>
    </row>
    <row r="316" spans="1:7" hidden="1" x14ac:dyDescent="0.25">
      <c r="A316" s="37" t="s">
        <v>934</v>
      </c>
      <c r="B316" s="19" t="s">
        <v>807</v>
      </c>
      <c r="C316" s="20" t="s">
        <v>935</v>
      </c>
      <c r="D316" s="16" t="s">
        <v>936</v>
      </c>
      <c r="E316" s="30"/>
      <c r="F316" s="29"/>
      <c r="G316" s="40">
        <v>199.26442800000001</v>
      </c>
    </row>
    <row r="317" spans="1:7" hidden="1" x14ac:dyDescent="0.25">
      <c r="A317" s="37" t="s">
        <v>937</v>
      </c>
      <c r="B317" s="19" t="s">
        <v>807</v>
      </c>
      <c r="C317" s="20" t="s">
        <v>938</v>
      </c>
      <c r="D317" s="16" t="s">
        <v>939</v>
      </c>
      <c r="E317" s="30"/>
      <c r="F317" s="29"/>
      <c r="G317" s="40">
        <v>382.71499199999994</v>
      </c>
    </row>
    <row r="318" spans="1:7" hidden="1" x14ac:dyDescent="0.25">
      <c r="A318" s="37" t="s">
        <v>940</v>
      </c>
      <c r="B318" s="19" t="s">
        <v>807</v>
      </c>
      <c r="C318" s="20" t="s">
        <v>941</v>
      </c>
      <c r="D318" s="16" t="s">
        <v>942</v>
      </c>
      <c r="E318" s="30"/>
      <c r="F318" s="29"/>
      <c r="G318" s="40">
        <v>382.71499199999994</v>
      </c>
    </row>
    <row r="319" spans="1:7" hidden="1" x14ac:dyDescent="0.25">
      <c r="A319" s="37" t="s">
        <v>943</v>
      </c>
      <c r="B319" s="19" t="s">
        <v>807</v>
      </c>
      <c r="C319" s="20">
        <v>308</v>
      </c>
      <c r="D319" s="16" t="s">
        <v>944</v>
      </c>
      <c r="E319" s="30"/>
      <c r="F319" s="29"/>
      <c r="G319" s="40">
        <v>8.9135640000000009</v>
      </c>
    </row>
    <row r="320" spans="1:7" hidden="1" x14ac:dyDescent="0.25">
      <c r="A320" s="37" t="s">
        <v>945</v>
      </c>
      <c r="B320" s="19" t="s">
        <v>807</v>
      </c>
      <c r="C320" s="16" t="s">
        <v>946</v>
      </c>
      <c r="D320" s="16" t="s">
        <v>947</v>
      </c>
      <c r="E320" s="30"/>
      <c r="F320" s="29"/>
      <c r="G320" s="40">
        <v>9.6117120000000007</v>
      </c>
    </row>
    <row r="321" spans="1:7" hidden="1" x14ac:dyDescent="0.25">
      <c r="A321" s="37" t="s">
        <v>948</v>
      </c>
      <c r="B321" s="19" t="s">
        <v>807</v>
      </c>
      <c r="C321" s="16" t="s">
        <v>949</v>
      </c>
      <c r="D321" s="16" t="s">
        <v>950</v>
      </c>
      <c r="E321" s="30"/>
      <c r="F321" s="29"/>
      <c r="G321" s="40">
        <v>12.371831999999999</v>
      </c>
    </row>
    <row r="322" spans="1:7" hidden="1" x14ac:dyDescent="0.25">
      <c r="A322" s="37" t="s">
        <v>951</v>
      </c>
      <c r="B322" s="19" t="s">
        <v>807</v>
      </c>
      <c r="C322" s="16" t="s">
        <v>952</v>
      </c>
      <c r="D322" s="16" t="s">
        <v>953</v>
      </c>
      <c r="E322" s="30"/>
      <c r="F322" s="29"/>
      <c r="G322" s="40">
        <v>12.112055999999999</v>
      </c>
    </row>
    <row r="323" spans="1:7" hidden="1" x14ac:dyDescent="0.25">
      <c r="A323" s="37" t="s">
        <v>954</v>
      </c>
      <c r="B323" s="19" t="s">
        <v>807</v>
      </c>
      <c r="C323" s="20">
        <v>542002</v>
      </c>
      <c r="D323" s="16" t="s">
        <v>955</v>
      </c>
      <c r="E323" s="30"/>
      <c r="F323" s="29"/>
      <c r="G323" s="40">
        <v>14.044139999999999</v>
      </c>
    </row>
    <row r="324" spans="1:7" hidden="1" x14ac:dyDescent="0.25">
      <c r="A324" s="37" t="s">
        <v>956</v>
      </c>
      <c r="B324" s="19" t="s">
        <v>807</v>
      </c>
      <c r="C324" s="20" t="s">
        <v>957</v>
      </c>
      <c r="D324" s="16" t="s">
        <v>958</v>
      </c>
      <c r="E324" s="30"/>
      <c r="F324" s="29"/>
      <c r="G324" s="40">
        <v>14.385095999999997</v>
      </c>
    </row>
    <row r="325" spans="1:7" hidden="1" x14ac:dyDescent="0.25">
      <c r="A325" s="37" t="s">
        <v>959</v>
      </c>
      <c r="B325" s="19" t="s">
        <v>807</v>
      </c>
      <c r="C325" s="20">
        <v>6101</v>
      </c>
      <c r="D325" s="16" t="s">
        <v>960</v>
      </c>
      <c r="E325" s="30"/>
      <c r="F325" s="29"/>
      <c r="G325" s="40">
        <v>8.6537879999999987</v>
      </c>
    </row>
    <row r="326" spans="1:7" hidden="1" x14ac:dyDescent="0.25">
      <c r="A326" s="37" t="s">
        <v>961</v>
      </c>
      <c r="B326" s="19" t="s">
        <v>807</v>
      </c>
      <c r="C326" s="20" t="s">
        <v>962</v>
      </c>
      <c r="D326" s="16" t="s">
        <v>963</v>
      </c>
      <c r="E326" s="30"/>
      <c r="F326" s="29"/>
      <c r="G326" s="40">
        <v>44.324280000000002</v>
      </c>
    </row>
    <row r="327" spans="1:7" hidden="1" x14ac:dyDescent="0.25">
      <c r="A327" s="37" t="s">
        <v>964</v>
      </c>
      <c r="B327" s="19" t="s">
        <v>807</v>
      </c>
      <c r="C327" s="20" t="s">
        <v>965</v>
      </c>
      <c r="D327" s="16" t="s">
        <v>966</v>
      </c>
      <c r="E327" s="30"/>
      <c r="F327" s="29"/>
      <c r="G327" s="40">
        <v>44.405459999999998</v>
      </c>
    </row>
    <row r="328" spans="1:7" hidden="1" x14ac:dyDescent="0.25">
      <c r="A328" s="37" t="s">
        <v>967</v>
      </c>
      <c r="B328" s="19" t="s">
        <v>807</v>
      </c>
      <c r="C328" s="20" t="s">
        <v>968</v>
      </c>
      <c r="D328" s="16" t="s">
        <v>969</v>
      </c>
      <c r="E328" s="30"/>
      <c r="F328" s="29"/>
      <c r="G328" s="40">
        <v>9.9364319999999999</v>
      </c>
    </row>
    <row r="329" spans="1:7" hidden="1" x14ac:dyDescent="0.25">
      <c r="A329" s="37" t="s">
        <v>970</v>
      </c>
      <c r="B329" s="19" t="s">
        <v>807</v>
      </c>
      <c r="C329" s="20" t="s">
        <v>971</v>
      </c>
      <c r="D329" s="16" t="s">
        <v>972</v>
      </c>
      <c r="E329" s="30"/>
      <c r="F329" s="29"/>
      <c r="G329" s="40">
        <v>13.021272</v>
      </c>
    </row>
    <row r="330" spans="1:7" hidden="1" x14ac:dyDescent="0.25">
      <c r="A330" s="37" t="s">
        <v>973</v>
      </c>
      <c r="B330" s="19" t="s">
        <v>807</v>
      </c>
      <c r="C330" s="20" t="s">
        <v>974</v>
      </c>
      <c r="D330" s="16" t="s">
        <v>975</v>
      </c>
      <c r="E330" s="30"/>
      <c r="F330" s="29"/>
      <c r="G330" s="40">
        <v>5.5364759999999995</v>
      </c>
    </row>
    <row r="331" spans="1:7" hidden="1" x14ac:dyDescent="0.25">
      <c r="A331" s="37" t="s">
        <v>976</v>
      </c>
      <c r="B331" s="19" t="s">
        <v>807</v>
      </c>
      <c r="C331" s="20" t="s">
        <v>977</v>
      </c>
      <c r="D331" s="16" t="s">
        <v>978</v>
      </c>
      <c r="E331" s="30"/>
      <c r="F331" s="29"/>
      <c r="G331" s="40">
        <v>10.017612</v>
      </c>
    </row>
    <row r="332" spans="1:7" hidden="1" x14ac:dyDescent="0.25">
      <c r="A332" s="37" t="s">
        <v>979</v>
      </c>
      <c r="B332" s="19" t="s">
        <v>807</v>
      </c>
      <c r="C332" s="24" t="s">
        <v>980</v>
      </c>
      <c r="D332" s="16" t="s">
        <v>981</v>
      </c>
      <c r="E332" s="30"/>
      <c r="F332" s="29"/>
      <c r="G332" s="40">
        <v>7.3873799999999985</v>
      </c>
    </row>
    <row r="333" spans="1:7" hidden="1" x14ac:dyDescent="0.25">
      <c r="A333" s="38" t="s">
        <v>982</v>
      </c>
      <c r="B333" s="19" t="s">
        <v>807</v>
      </c>
      <c r="C333" s="20">
        <v>542003</v>
      </c>
      <c r="D333" s="16" t="s">
        <v>983</v>
      </c>
      <c r="E333" s="30"/>
      <c r="F333" s="29"/>
      <c r="G333" s="40">
        <v>16.820495999999999</v>
      </c>
    </row>
    <row r="334" spans="1:7" hidden="1" x14ac:dyDescent="0.25">
      <c r="A334" s="37" t="s">
        <v>984</v>
      </c>
      <c r="B334" s="19" t="s">
        <v>807</v>
      </c>
      <c r="C334" s="16" t="s">
        <v>985</v>
      </c>
      <c r="D334" s="16" t="s">
        <v>986</v>
      </c>
      <c r="E334" s="30"/>
      <c r="F334" s="29"/>
      <c r="G334" s="40">
        <v>18.768816000000001</v>
      </c>
    </row>
    <row r="335" spans="1:7" hidden="1" x14ac:dyDescent="0.25">
      <c r="A335" s="37" t="s">
        <v>987</v>
      </c>
      <c r="B335" s="19" t="s">
        <v>807</v>
      </c>
      <c r="C335" s="16" t="s">
        <v>988</v>
      </c>
      <c r="D335" s="16" t="s">
        <v>989</v>
      </c>
      <c r="E335" s="30"/>
      <c r="F335" s="29"/>
      <c r="G335" s="40">
        <v>30.231432000000002</v>
      </c>
    </row>
    <row r="336" spans="1:7" hidden="1" x14ac:dyDescent="0.25">
      <c r="A336" s="37" t="s">
        <v>990</v>
      </c>
      <c r="B336" s="19" t="s">
        <v>807</v>
      </c>
      <c r="C336" s="16" t="s">
        <v>991</v>
      </c>
      <c r="D336" s="16" t="s">
        <v>992</v>
      </c>
      <c r="E336" s="30"/>
      <c r="F336" s="29"/>
      <c r="G336" s="40">
        <v>316.42340399999989</v>
      </c>
    </row>
    <row r="337" spans="1:7" hidden="1" x14ac:dyDescent="0.25">
      <c r="A337" s="37" t="s">
        <v>993</v>
      </c>
      <c r="B337" s="19" t="s">
        <v>807</v>
      </c>
      <c r="C337" s="16" t="s">
        <v>994</v>
      </c>
      <c r="D337" s="16" t="s">
        <v>995</v>
      </c>
      <c r="E337" s="30"/>
      <c r="F337" s="29"/>
      <c r="G337" s="40">
        <v>15.002064000000001</v>
      </c>
    </row>
    <row r="338" spans="1:7" hidden="1" x14ac:dyDescent="0.25">
      <c r="A338" s="37" t="s">
        <v>996</v>
      </c>
      <c r="B338" s="19" t="s">
        <v>807</v>
      </c>
      <c r="C338" s="16" t="s">
        <v>997</v>
      </c>
      <c r="D338" s="16" t="s">
        <v>998</v>
      </c>
      <c r="E338" s="30"/>
      <c r="F338" s="29"/>
      <c r="G338" s="40">
        <v>12.290652000000001</v>
      </c>
    </row>
    <row r="339" spans="1:7" hidden="1" x14ac:dyDescent="0.25">
      <c r="A339" s="37" t="s">
        <v>999</v>
      </c>
      <c r="B339" s="19" t="s">
        <v>807</v>
      </c>
      <c r="C339" s="16" t="s">
        <v>1000</v>
      </c>
      <c r="D339" s="16" t="s">
        <v>1001</v>
      </c>
      <c r="E339" s="30"/>
      <c r="F339" s="29"/>
      <c r="G339" s="40">
        <v>35.329536000000004</v>
      </c>
    </row>
    <row r="340" spans="1:7" hidden="1" x14ac:dyDescent="0.25">
      <c r="A340" s="37" t="s">
        <v>1002</v>
      </c>
      <c r="B340" s="19" t="s">
        <v>807</v>
      </c>
      <c r="C340" s="16" t="s">
        <v>1003</v>
      </c>
      <c r="D340" s="16" t="s">
        <v>1004</v>
      </c>
      <c r="E340" s="30"/>
      <c r="F340" s="29"/>
      <c r="G340" s="40">
        <v>11.982167999999998</v>
      </c>
    </row>
    <row r="341" spans="1:7" hidden="1" x14ac:dyDescent="0.25">
      <c r="A341" s="37" t="s">
        <v>1005</v>
      </c>
      <c r="B341" s="19" t="s">
        <v>807</v>
      </c>
      <c r="C341" s="16" t="s">
        <v>1006</v>
      </c>
      <c r="D341" s="16" t="s">
        <v>1007</v>
      </c>
      <c r="E341" s="30"/>
      <c r="F341" s="29"/>
      <c r="G341" s="40">
        <v>25.035911999999996</v>
      </c>
    </row>
    <row r="342" spans="1:7" hidden="1" x14ac:dyDescent="0.25">
      <c r="A342" s="37" t="s">
        <v>1008</v>
      </c>
      <c r="B342" s="19" t="s">
        <v>807</v>
      </c>
      <c r="C342" s="16" t="s">
        <v>1009</v>
      </c>
      <c r="D342" s="16" t="s">
        <v>1010</v>
      </c>
      <c r="E342" s="30"/>
      <c r="F342" s="29"/>
      <c r="G342" s="40">
        <v>29.176091999999997</v>
      </c>
    </row>
    <row r="343" spans="1:7" hidden="1" x14ac:dyDescent="0.25">
      <c r="A343" s="37" t="s">
        <v>1011</v>
      </c>
      <c r="B343" s="19" t="s">
        <v>807</v>
      </c>
      <c r="C343" s="16" t="s">
        <v>1012</v>
      </c>
      <c r="D343" s="16" t="s">
        <v>1013</v>
      </c>
      <c r="E343" s="30"/>
      <c r="F343" s="29"/>
      <c r="G343" s="40">
        <v>21.951072</v>
      </c>
    </row>
    <row r="344" spans="1:7" hidden="1" x14ac:dyDescent="0.25">
      <c r="A344" s="37" t="s">
        <v>1014</v>
      </c>
      <c r="B344" s="19" t="s">
        <v>807</v>
      </c>
      <c r="C344" s="16" t="s">
        <v>1015</v>
      </c>
      <c r="D344" s="16" t="s">
        <v>1016</v>
      </c>
      <c r="E344" s="30"/>
      <c r="F344" s="29"/>
      <c r="G344" s="40">
        <v>7.8744599999999991</v>
      </c>
    </row>
    <row r="345" spans="1:7" hidden="1" x14ac:dyDescent="0.25">
      <c r="A345" s="37" t="s">
        <v>1017</v>
      </c>
      <c r="B345" s="19" t="s">
        <v>807</v>
      </c>
      <c r="C345" s="16" t="s">
        <v>1018</v>
      </c>
      <c r="D345" s="16" t="s">
        <v>1019</v>
      </c>
      <c r="E345" s="30"/>
      <c r="F345" s="29"/>
      <c r="G345" s="40">
        <v>4.448664</v>
      </c>
    </row>
    <row r="346" spans="1:7" hidden="1" x14ac:dyDescent="0.25">
      <c r="A346" s="37" t="s">
        <v>1020</v>
      </c>
      <c r="B346" s="19" t="s">
        <v>807</v>
      </c>
      <c r="C346" s="16" t="s">
        <v>1021</v>
      </c>
      <c r="D346" s="16" t="s">
        <v>1022</v>
      </c>
      <c r="E346" s="30"/>
      <c r="F346" s="29"/>
      <c r="G346" s="40">
        <v>12.793968</v>
      </c>
    </row>
    <row r="347" spans="1:7" hidden="1" x14ac:dyDescent="0.25">
      <c r="A347" s="34" t="s">
        <v>1023</v>
      </c>
      <c r="B347" s="16" t="s">
        <v>1024</v>
      </c>
      <c r="C347" s="16" t="s">
        <v>1025</v>
      </c>
      <c r="D347" s="16" t="s">
        <v>1026</v>
      </c>
      <c r="E347" s="30"/>
      <c r="F347" s="29"/>
      <c r="G347" s="40">
        <v>35.313299999999998</v>
      </c>
    </row>
    <row r="348" spans="1:7" hidden="1" x14ac:dyDescent="0.25">
      <c r="A348" s="34" t="s">
        <v>1027</v>
      </c>
      <c r="B348" s="16" t="s">
        <v>1024</v>
      </c>
      <c r="C348" s="16" t="s">
        <v>1028</v>
      </c>
      <c r="D348" s="16" t="s">
        <v>1029</v>
      </c>
      <c r="E348" s="30"/>
      <c r="F348" s="29"/>
      <c r="G348" s="40">
        <v>44.178156000000001</v>
      </c>
    </row>
    <row r="349" spans="1:7" hidden="1" x14ac:dyDescent="0.25">
      <c r="A349" s="34" t="s">
        <v>1030</v>
      </c>
      <c r="B349" s="16" t="s">
        <v>1024</v>
      </c>
      <c r="C349" s="16" t="s">
        <v>1031</v>
      </c>
      <c r="D349" s="16" t="s">
        <v>1032</v>
      </c>
      <c r="E349" s="30"/>
      <c r="F349" s="29"/>
      <c r="G349" s="40">
        <v>62.313768000000003</v>
      </c>
    </row>
    <row r="350" spans="1:7" hidden="1" x14ac:dyDescent="0.25">
      <c r="A350" s="34" t="s">
        <v>1033</v>
      </c>
      <c r="B350" s="16" t="s">
        <v>1024</v>
      </c>
      <c r="C350" s="16" t="s">
        <v>1034</v>
      </c>
      <c r="D350" s="16" t="s">
        <v>1035</v>
      </c>
      <c r="E350" s="30"/>
      <c r="F350" s="29"/>
      <c r="G350" s="40">
        <v>36.855719999999991</v>
      </c>
    </row>
    <row r="351" spans="1:7" hidden="1" x14ac:dyDescent="0.25">
      <c r="A351" s="34" t="s">
        <v>1036</v>
      </c>
      <c r="B351" s="16" t="s">
        <v>1024</v>
      </c>
      <c r="C351" s="16" t="s">
        <v>1037</v>
      </c>
      <c r="D351" s="16" t="s">
        <v>1038</v>
      </c>
      <c r="E351" s="30"/>
      <c r="F351" s="29"/>
      <c r="G351" s="40">
        <v>37.359036000000003</v>
      </c>
    </row>
    <row r="352" spans="1:7" hidden="1" x14ac:dyDescent="0.25">
      <c r="A352" s="34" t="s">
        <v>1039</v>
      </c>
      <c r="B352" s="16" t="s">
        <v>1024</v>
      </c>
      <c r="C352" s="16" t="s">
        <v>1040</v>
      </c>
      <c r="D352" s="16" t="s">
        <v>1041</v>
      </c>
      <c r="E352" s="30"/>
      <c r="F352" s="29"/>
      <c r="G352" s="40">
        <v>40.963427999999993</v>
      </c>
    </row>
    <row r="353" spans="1:7" hidden="1" x14ac:dyDescent="0.25">
      <c r="A353" s="34" t="s">
        <v>1042</v>
      </c>
      <c r="B353" s="16" t="s">
        <v>1024</v>
      </c>
      <c r="C353" s="16" t="s">
        <v>1043</v>
      </c>
      <c r="D353" s="16" t="s">
        <v>1044</v>
      </c>
      <c r="E353" s="30"/>
      <c r="F353" s="29"/>
      <c r="G353" s="40">
        <v>35.978975999999996</v>
      </c>
    </row>
    <row r="354" spans="1:7" hidden="1" x14ac:dyDescent="0.25">
      <c r="A354" s="34" t="s">
        <v>1045</v>
      </c>
      <c r="B354" s="16" t="s">
        <v>1024</v>
      </c>
      <c r="C354" s="16" t="s">
        <v>1046</v>
      </c>
      <c r="D354" s="16" t="s">
        <v>1047</v>
      </c>
      <c r="E354" s="30"/>
      <c r="F354" s="29"/>
      <c r="G354" s="40">
        <v>34.290432000000003</v>
      </c>
    </row>
    <row r="355" spans="1:7" hidden="1" x14ac:dyDescent="0.25">
      <c r="A355" s="34" t="s">
        <v>1048</v>
      </c>
      <c r="B355" s="16" t="s">
        <v>1024</v>
      </c>
      <c r="C355" s="16" t="s">
        <v>1049</v>
      </c>
      <c r="D355" s="16" t="s">
        <v>1050</v>
      </c>
      <c r="E355" s="30"/>
      <c r="F355" s="29"/>
      <c r="G355" s="40">
        <v>32.845427999999998</v>
      </c>
    </row>
    <row r="356" spans="1:7" hidden="1" x14ac:dyDescent="0.25">
      <c r="A356" s="34" t="s">
        <v>1051</v>
      </c>
      <c r="B356" s="16" t="s">
        <v>1024</v>
      </c>
      <c r="C356" s="16" t="s">
        <v>1052</v>
      </c>
      <c r="D356" s="16" t="s">
        <v>1053</v>
      </c>
      <c r="E356" s="30"/>
      <c r="F356" s="29"/>
      <c r="G356" s="40">
        <v>152.098848</v>
      </c>
    </row>
    <row r="357" spans="1:7" hidden="1" x14ac:dyDescent="0.25">
      <c r="A357" s="34" t="s">
        <v>1054</v>
      </c>
      <c r="B357" s="16" t="s">
        <v>1024</v>
      </c>
      <c r="C357" s="16" t="s">
        <v>1055</v>
      </c>
      <c r="D357" s="16" t="s">
        <v>1056</v>
      </c>
      <c r="E357" s="30"/>
      <c r="F357" s="29"/>
      <c r="G357" s="40">
        <v>26.464680000000001</v>
      </c>
    </row>
    <row r="358" spans="1:7" hidden="1" x14ac:dyDescent="0.25">
      <c r="A358" s="34" t="s">
        <v>1057</v>
      </c>
      <c r="B358" s="16" t="s">
        <v>1024</v>
      </c>
      <c r="C358" s="16" t="s">
        <v>1058</v>
      </c>
      <c r="D358" s="16" t="s">
        <v>1059</v>
      </c>
      <c r="E358" s="30"/>
      <c r="F358" s="29"/>
      <c r="G358" s="40">
        <v>447.15567600000003</v>
      </c>
    </row>
    <row r="359" spans="1:7" hidden="1" x14ac:dyDescent="0.25">
      <c r="A359" s="34" t="s">
        <v>1060</v>
      </c>
      <c r="B359" s="16" t="s">
        <v>1024</v>
      </c>
      <c r="C359" s="16" t="s">
        <v>1061</v>
      </c>
      <c r="D359" s="16" t="s">
        <v>1062</v>
      </c>
      <c r="E359" s="30"/>
      <c r="F359" s="29"/>
      <c r="G359" s="40">
        <v>46.045295999999993</v>
      </c>
    </row>
    <row r="360" spans="1:7" hidden="1" x14ac:dyDescent="0.25">
      <c r="A360" s="34" t="s">
        <v>1063</v>
      </c>
      <c r="B360" s="16" t="s">
        <v>1024</v>
      </c>
      <c r="C360" s="20">
        <v>86218380</v>
      </c>
      <c r="D360" s="16" t="s">
        <v>1064</v>
      </c>
      <c r="E360" s="30"/>
      <c r="F360" s="29"/>
      <c r="G360" s="40">
        <v>69.100415999999996</v>
      </c>
    </row>
    <row r="361" spans="1:7" hidden="1" x14ac:dyDescent="0.25">
      <c r="A361" s="34" t="s">
        <v>1065</v>
      </c>
      <c r="B361" s="19" t="s">
        <v>37</v>
      </c>
      <c r="C361" s="20">
        <v>160332</v>
      </c>
      <c r="D361" s="16" t="s">
        <v>45</v>
      </c>
      <c r="E361" s="30"/>
      <c r="F361" s="29"/>
      <c r="G361" s="40">
        <v>1875.1443479999998</v>
      </c>
    </row>
    <row r="362" spans="1:7" hidden="1" x14ac:dyDescent="0.25">
      <c r="A362" s="34" t="s">
        <v>1066</v>
      </c>
      <c r="B362" s="19" t="s">
        <v>37</v>
      </c>
      <c r="C362" s="20">
        <v>160301</v>
      </c>
      <c r="D362" s="16" t="s">
        <v>44</v>
      </c>
      <c r="E362" s="30"/>
      <c r="F362" s="29"/>
      <c r="G362" s="40">
        <v>1460.5743240000002</v>
      </c>
    </row>
    <row r="363" spans="1:7" hidden="1" x14ac:dyDescent="0.25">
      <c r="A363" s="34" t="s">
        <v>1067</v>
      </c>
      <c r="B363" s="19" t="s">
        <v>37</v>
      </c>
      <c r="C363" s="20">
        <v>160316</v>
      </c>
      <c r="D363" s="16" t="s">
        <v>39</v>
      </c>
      <c r="E363" s="30"/>
      <c r="F363" s="29"/>
      <c r="G363" s="40">
        <v>515.363112</v>
      </c>
    </row>
    <row r="364" spans="1:7" hidden="1" x14ac:dyDescent="0.25">
      <c r="A364" s="34" t="s">
        <v>1068</v>
      </c>
      <c r="B364" s="19" t="s">
        <v>37</v>
      </c>
      <c r="C364" s="20">
        <v>160355</v>
      </c>
      <c r="D364" s="16" t="s">
        <v>40</v>
      </c>
      <c r="E364" s="30"/>
      <c r="F364" s="29"/>
      <c r="G364" s="40">
        <v>565.24010399999997</v>
      </c>
    </row>
    <row r="365" spans="1:7" hidden="1" x14ac:dyDescent="0.25">
      <c r="A365" s="34" t="s">
        <v>1069</v>
      </c>
      <c r="B365" s="19" t="s">
        <v>37</v>
      </c>
      <c r="C365" s="20">
        <v>160318</v>
      </c>
      <c r="D365" s="16" t="s">
        <v>41</v>
      </c>
      <c r="E365" s="30"/>
      <c r="F365" s="29"/>
      <c r="G365" s="40">
        <v>571.23118799999997</v>
      </c>
    </row>
    <row r="366" spans="1:7" hidden="1" x14ac:dyDescent="0.25">
      <c r="A366" s="34"/>
      <c r="B366" s="19" t="s">
        <v>37</v>
      </c>
      <c r="C366" s="24" t="s">
        <v>1070</v>
      </c>
      <c r="D366" s="24" t="s">
        <v>1071</v>
      </c>
      <c r="E366" s="30"/>
      <c r="F366" s="29"/>
      <c r="G366" s="40">
        <v>1102.164624</v>
      </c>
    </row>
    <row r="367" spans="1:7" hidden="1" x14ac:dyDescent="0.25">
      <c r="A367" s="34" t="s">
        <v>1072</v>
      </c>
      <c r="B367" s="19" t="s">
        <v>37</v>
      </c>
      <c r="C367" s="20" t="s">
        <v>354</v>
      </c>
      <c r="D367" s="16" t="s">
        <v>310</v>
      </c>
      <c r="E367" s="30"/>
      <c r="F367" s="29"/>
      <c r="G367" s="40">
        <v>43.268940000000001</v>
      </c>
    </row>
    <row r="368" spans="1:7" hidden="1" x14ac:dyDescent="0.25">
      <c r="A368" s="34" t="s">
        <v>1073</v>
      </c>
      <c r="B368" s="19" t="s">
        <v>37</v>
      </c>
      <c r="C368" s="20">
        <v>98209800</v>
      </c>
      <c r="D368" s="16" t="s">
        <v>46</v>
      </c>
      <c r="E368" s="30"/>
      <c r="F368" s="29"/>
      <c r="G368" s="40">
        <v>40.914720000000003</v>
      </c>
    </row>
    <row r="369" spans="1:7" hidden="1" x14ac:dyDescent="0.25">
      <c r="A369" s="34" t="s">
        <v>1074</v>
      </c>
      <c r="B369" s="19" t="s">
        <v>37</v>
      </c>
      <c r="C369" s="20">
        <v>190003</v>
      </c>
      <c r="D369" s="16" t="s">
        <v>47</v>
      </c>
      <c r="E369" s="30"/>
      <c r="F369" s="29"/>
      <c r="G369" s="40">
        <v>387.30978000000005</v>
      </c>
    </row>
    <row r="370" spans="1:7" hidden="1" x14ac:dyDescent="0.25">
      <c r="A370" s="34" t="s">
        <v>1075</v>
      </c>
      <c r="B370" s="19" t="s">
        <v>37</v>
      </c>
      <c r="C370" s="20">
        <v>160340</v>
      </c>
      <c r="D370" s="16" t="s">
        <v>43</v>
      </c>
      <c r="E370" s="30"/>
      <c r="F370" s="29"/>
      <c r="G370" s="40">
        <v>1311.5116079999998</v>
      </c>
    </row>
    <row r="371" spans="1:7" hidden="1" x14ac:dyDescent="0.25">
      <c r="A371" s="34" t="s">
        <v>1076</v>
      </c>
      <c r="B371" s="19" t="s">
        <v>37</v>
      </c>
      <c r="C371" s="20" t="s">
        <v>355</v>
      </c>
      <c r="D371" s="16" t="s">
        <v>311</v>
      </c>
      <c r="E371" s="30"/>
      <c r="F371" s="29"/>
      <c r="G371" s="40">
        <v>188.02911599999999</v>
      </c>
    </row>
    <row r="372" spans="1:7" hidden="1" x14ac:dyDescent="0.25">
      <c r="A372" s="34" t="s">
        <v>1077</v>
      </c>
      <c r="B372" s="19" t="s">
        <v>37</v>
      </c>
      <c r="C372" s="20">
        <v>160310</v>
      </c>
      <c r="D372" s="16" t="s">
        <v>42</v>
      </c>
      <c r="E372" s="30"/>
      <c r="F372" s="29"/>
      <c r="G372" s="40">
        <v>1065.4550280000001</v>
      </c>
    </row>
    <row r="373" spans="1:7" hidden="1" x14ac:dyDescent="0.25">
      <c r="A373" s="34" t="s">
        <v>1078</v>
      </c>
      <c r="B373" s="19" t="s">
        <v>37</v>
      </c>
      <c r="C373" s="20">
        <v>160314</v>
      </c>
      <c r="D373" s="16" t="s">
        <v>38</v>
      </c>
      <c r="E373" s="30"/>
      <c r="F373" s="29"/>
      <c r="G373" s="40">
        <v>453.909852</v>
      </c>
    </row>
    <row r="374" spans="1:7" hidden="1" x14ac:dyDescent="0.25">
      <c r="A374" s="34" t="s">
        <v>1079</v>
      </c>
      <c r="B374" s="19" t="s">
        <v>37</v>
      </c>
      <c r="C374" s="20" t="s">
        <v>356</v>
      </c>
      <c r="D374" s="16" t="s">
        <v>312</v>
      </c>
      <c r="E374" s="30"/>
      <c r="F374" s="29"/>
      <c r="G374" s="40">
        <v>129.96917999999999</v>
      </c>
    </row>
    <row r="375" spans="1:7" hidden="1" x14ac:dyDescent="0.25">
      <c r="A375" s="36" t="s">
        <v>1080</v>
      </c>
      <c r="B375" s="19" t="s">
        <v>37</v>
      </c>
      <c r="C375" s="32">
        <v>98960311</v>
      </c>
      <c r="D375" s="24" t="s">
        <v>357</v>
      </c>
      <c r="E375" s="30"/>
      <c r="F375" s="29"/>
      <c r="G375" s="40">
        <v>90.288395999999992</v>
      </c>
    </row>
    <row r="376" spans="1:7" hidden="1" x14ac:dyDescent="0.25">
      <c r="A376" s="34" t="s">
        <v>1081</v>
      </c>
      <c r="B376" s="19" t="s">
        <v>37</v>
      </c>
      <c r="C376" s="20" t="s">
        <v>358</v>
      </c>
      <c r="D376" s="16" t="s">
        <v>48</v>
      </c>
      <c r="E376" s="30"/>
      <c r="F376" s="29"/>
      <c r="G376" s="40">
        <v>63.937368000000006</v>
      </c>
    </row>
    <row r="377" spans="1:7" hidden="1" x14ac:dyDescent="0.25">
      <c r="A377" s="34" t="s">
        <v>1082</v>
      </c>
      <c r="B377" s="19" t="s">
        <v>37</v>
      </c>
      <c r="C377" s="20">
        <v>178553</v>
      </c>
      <c r="D377" s="16" t="s">
        <v>313</v>
      </c>
      <c r="E377" s="30"/>
      <c r="F377" s="29"/>
      <c r="G377" s="40">
        <v>224.59258799999998</v>
      </c>
    </row>
    <row r="378" spans="1:7" hidden="1" x14ac:dyDescent="0.25">
      <c r="A378" s="34" t="s">
        <v>1083</v>
      </c>
      <c r="B378" s="19" t="s">
        <v>37</v>
      </c>
      <c r="C378" s="20">
        <v>86202000</v>
      </c>
      <c r="D378" s="16" t="s">
        <v>314</v>
      </c>
      <c r="E378" s="30"/>
      <c r="F378" s="29"/>
      <c r="G378" s="40">
        <v>31.725143999999997</v>
      </c>
    </row>
    <row r="379" spans="1:7" hidden="1" x14ac:dyDescent="0.25">
      <c r="A379" s="34" t="s">
        <v>1084</v>
      </c>
      <c r="B379" s="19" t="s">
        <v>37</v>
      </c>
      <c r="C379" s="20">
        <v>59052900</v>
      </c>
      <c r="D379" s="16" t="s">
        <v>315</v>
      </c>
      <c r="E379" s="30"/>
      <c r="F379" s="29"/>
      <c r="G379" s="40">
        <v>143.91590399999998</v>
      </c>
    </row>
    <row r="380" spans="1:7" hidden="1" x14ac:dyDescent="0.25">
      <c r="A380" s="34" t="s">
        <v>1085</v>
      </c>
      <c r="B380" s="19" t="s">
        <v>37</v>
      </c>
      <c r="C380" s="20" t="s">
        <v>359</v>
      </c>
      <c r="D380" s="16" t="s">
        <v>53</v>
      </c>
      <c r="E380" s="30"/>
      <c r="F380" s="29"/>
      <c r="G380" s="40">
        <v>93.909024000000002</v>
      </c>
    </row>
    <row r="381" spans="1:7" hidden="1" x14ac:dyDescent="0.25">
      <c r="A381" s="34" t="s">
        <v>1086</v>
      </c>
      <c r="B381" s="19" t="s">
        <v>37</v>
      </c>
      <c r="C381" s="20" t="s">
        <v>360</v>
      </c>
      <c r="D381" s="16" t="s">
        <v>54</v>
      </c>
      <c r="E381" s="30"/>
      <c r="F381" s="29"/>
      <c r="G381" s="40">
        <v>162.92825999999999</v>
      </c>
    </row>
    <row r="382" spans="1:7" hidden="1" x14ac:dyDescent="0.25">
      <c r="A382" s="34" t="s">
        <v>1087</v>
      </c>
      <c r="B382" s="19" t="s">
        <v>37</v>
      </c>
      <c r="C382" s="20" t="s">
        <v>361</v>
      </c>
      <c r="D382" s="16" t="s">
        <v>55</v>
      </c>
      <c r="E382" s="30"/>
      <c r="F382" s="29"/>
      <c r="G382" s="40">
        <v>81.374831999999998</v>
      </c>
    </row>
    <row r="383" spans="1:7" hidden="1" x14ac:dyDescent="0.25">
      <c r="A383" s="34" t="s">
        <v>1088</v>
      </c>
      <c r="B383" s="19" t="s">
        <v>37</v>
      </c>
      <c r="C383" s="20" t="s">
        <v>362</v>
      </c>
      <c r="D383" s="16" t="s">
        <v>56</v>
      </c>
      <c r="E383" s="30"/>
      <c r="F383" s="29"/>
      <c r="G383" s="40">
        <v>128.00462399999998</v>
      </c>
    </row>
    <row r="384" spans="1:7" hidden="1" x14ac:dyDescent="0.25">
      <c r="A384" s="34" t="s">
        <v>1089</v>
      </c>
      <c r="B384" s="19" t="s">
        <v>37</v>
      </c>
      <c r="C384" s="20">
        <v>170027</v>
      </c>
      <c r="D384" s="16" t="s">
        <v>316</v>
      </c>
      <c r="E384" s="30"/>
      <c r="F384" s="29"/>
      <c r="G384" s="40">
        <v>97.237404000000012</v>
      </c>
    </row>
    <row r="385" spans="1:7" hidden="1" x14ac:dyDescent="0.25">
      <c r="A385" s="34" t="s">
        <v>1090</v>
      </c>
      <c r="B385" s="19" t="s">
        <v>37</v>
      </c>
      <c r="C385" s="20" t="s">
        <v>363</v>
      </c>
      <c r="D385" s="16" t="s">
        <v>49</v>
      </c>
      <c r="E385" s="30"/>
      <c r="F385" s="29"/>
      <c r="G385" s="40">
        <v>411.95602799999995</v>
      </c>
    </row>
    <row r="386" spans="1:7" hidden="1" x14ac:dyDescent="0.25">
      <c r="A386" s="34" t="s">
        <v>1091</v>
      </c>
      <c r="B386" s="19" t="s">
        <v>37</v>
      </c>
      <c r="C386" s="20" t="s">
        <v>364</v>
      </c>
      <c r="D386" s="16" t="s">
        <v>317</v>
      </c>
      <c r="E386" s="30"/>
      <c r="F386" s="29"/>
      <c r="G386" s="40">
        <v>478.19890799999996</v>
      </c>
    </row>
    <row r="387" spans="1:7" hidden="1" x14ac:dyDescent="0.25">
      <c r="A387" s="34"/>
      <c r="B387" s="19" t="s">
        <v>37</v>
      </c>
      <c r="C387" s="20" t="s">
        <v>365</v>
      </c>
      <c r="D387" s="16" t="s">
        <v>318</v>
      </c>
      <c r="E387" s="30"/>
      <c r="F387" s="29"/>
      <c r="G387" s="40">
        <v>298.61251199999992</v>
      </c>
    </row>
    <row r="388" spans="1:7" hidden="1" x14ac:dyDescent="0.25">
      <c r="A388" s="34" t="s">
        <v>1092</v>
      </c>
      <c r="B388" s="19" t="s">
        <v>37</v>
      </c>
      <c r="C388" s="20" t="s">
        <v>366</v>
      </c>
      <c r="D388" s="16" t="s">
        <v>319</v>
      </c>
      <c r="E388" s="30"/>
      <c r="F388" s="29"/>
      <c r="G388" s="40">
        <v>389.404224</v>
      </c>
    </row>
    <row r="389" spans="1:7" hidden="1" x14ac:dyDescent="0.25">
      <c r="A389" s="34" t="s">
        <v>1093</v>
      </c>
      <c r="B389" s="19" t="s">
        <v>37</v>
      </c>
      <c r="C389" s="20" t="s">
        <v>367</v>
      </c>
      <c r="D389" s="16" t="s">
        <v>50</v>
      </c>
      <c r="E389" s="30"/>
      <c r="F389" s="29"/>
      <c r="G389" s="40">
        <v>331.50664799999998</v>
      </c>
    </row>
    <row r="390" spans="1:7" hidden="1" x14ac:dyDescent="0.25">
      <c r="A390" s="34" t="s">
        <v>1094</v>
      </c>
      <c r="B390" s="19" t="s">
        <v>37</v>
      </c>
      <c r="C390" s="20" t="s">
        <v>368</v>
      </c>
      <c r="D390" s="16" t="s">
        <v>51</v>
      </c>
      <c r="E390" s="30"/>
      <c r="F390" s="29"/>
      <c r="G390" s="40">
        <v>511.69377600000001</v>
      </c>
    </row>
    <row r="391" spans="1:7" hidden="1" x14ac:dyDescent="0.25">
      <c r="A391" s="34" t="s">
        <v>1095</v>
      </c>
      <c r="B391" s="19" t="s">
        <v>37</v>
      </c>
      <c r="C391" s="20" t="s">
        <v>369</v>
      </c>
      <c r="D391" s="16" t="s">
        <v>52</v>
      </c>
      <c r="E391" s="30"/>
      <c r="F391" s="29"/>
      <c r="G391" s="40">
        <v>257.74649999999997</v>
      </c>
    </row>
    <row r="392" spans="1:7" hidden="1" x14ac:dyDescent="0.25">
      <c r="A392" s="34" t="s">
        <v>1096</v>
      </c>
      <c r="B392" s="19" t="s">
        <v>37</v>
      </c>
      <c r="C392" s="20">
        <v>51008400</v>
      </c>
      <c r="D392" s="16" t="s">
        <v>320</v>
      </c>
      <c r="E392" s="30"/>
      <c r="F392" s="29"/>
      <c r="G392" s="40">
        <v>34.923636000000002</v>
      </c>
    </row>
    <row r="393" spans="1:7" hidden="1" x14ac:dyDescent="0.25">
      <c r="A393" s="34" t="s">
        <v>1097</v>
      </c>
      <c r="B393" s="19" t="s">
        <v>37</v>
      </c>
      <c r="C393" s="16" t="s">
        <v>370</v>
      </c>
      <c r="D393" s="16" t="s">
        <v>321</v>
      </c>
      <c r="E393" s="30"/>
      <c r="F393" s="29"/>
      <c r="G393" s="40">
        <v>55.527119999999996</v>
      </c>
    </row>
    <row r="394" spans="1:7" hidden="1" x14ac:dyDescent="0.25">
      <c r="A394" s="36" t="s">
        <v>1098</v>
      </c>
      <c r="B394" s="19" t="s">
        <v>37</v>
      </c>
      <c r="C394" s="24" t="s">
        <v>372</v>
      </c>
      <c r="D394" s="24" t="s">
        <v>373</v>
      </c>
      <c r="E394" s="33"/>
      <c r="F394" s="29"/>
      <c r="G394" s="40">
        <v>470.76282000000003</v>
      </c>
    </row>
    <row r="395" spans="1:7" hidden="1" x14ac:dyDescent="0.25">
      <c r="A395" s="39" t="s">
        <v>1099</v>
      </c>
      <c r="B395" s="19" t="s">
        <v>37</v>
      </c>
      <c r="C395" s="24" t="s">
        <v>1100</v>
      </c>
      <c r="D395" s="24" t="s">
        <v>1101</v>
      </c>
      <c r="E395" s="33"/>
      <c r="F395" s="29"/>
      <c r="G395" s="40">
        <v>950.84510399999988</v>
      </c>
    </row>
    <row r="396" spans="1:7" hidden="1" x14ac:dyDescent="0.25">
      <c r="A396" s="34" t="s">
        <v>1102</v>
      </c>
      <c r="B396" s="19" t="s">
        <v>17</v>
      </c>
      <c r="C396" s="20">
        <v>11533</v>
      </c>
      <c r="D396" s="16" t="s">
        <v>297</v>
      </c>
      <c r="E396" s="30"/>
      <c r="F396" s="29"/>
      <c r="G396" s="40">
        <v>2490.5212199999996</v>
      </c>
    </row>
    <row r="397" spans="1:7" hidden="1" x14ac:dyDescent="0.25">
      <c r="A397" s="34" t="s">
        <v>1103</v>
      </c>
      <c r="B397" s="19" t="s">
        <v>17</v>
      </c>
      <c r="C397" s="20">
        <v>342002</v>
      </c>
      <c r="D397" s="16" t="s">
        <v>18</v>
      </c>
      <c r="E397" s="30"/>
      <c r="F397" s="29"/>
      <c r="G397" s="40">
        <v>1608.4355759999999</v>
      </c>
    </row>
    <row r="398" spans="1:7" hidden="1" x14ac:dyDescent="0.25">
      <c r="A398" s="34" t="s">
        <v>1104</v>
      </c>
      <c r="B398" s="19" t="s">
        <v>17</v>
      </c>
      <c r="C398" s="20">
        <v>11075</v>
      </c>
      <c r="D398" s="16" t="s">
        <v>19</v>
      </c>
      <c r="E398" s="30"/>
      <c r="F398" s="29"/>
      <c r="G398" s="40">
        <v>2422.865808</v>
      </c>
    </row>
    <row r="399" spans="1:7" hidden="1" x14ac:dyDescent="0.25">
      <c r="A399" s="34" t="s">
        <v>1105</v>
      </c>
      <c r="B399" s="19" t="s">
        <v>17</v>
      </c>
      <c r="C399" s="20">
        <v>11076</v>
      </c>
      <c r="D399" s="16" t="s">
        <v>20</v>
      </c>
      <c r="E399" s="30"/>
      <c r="F399" s="29"/>
      <c r="G399" s="40">
        <v>2421.2584440000001</v>
      </c>
    </row>
    <row r="400" spans="1:7" hidden="1" x14ac:dyDescent="0.25">
      <c r="A400" s="34" t="s">
        <v>1106</v>
      </c>
      <c r="B400" s="19" t="s">
        <v>17</v>
      </c>
      <c r="C400" s="20">
        <v>11057</v>
      </c>
      <c r="D400" s="16" t="s">
        <v>298</v>
      </c>
      <c r="E400" s="30"/>
      <c r="F400" s="29"/>
      <c r="G400" s="40">
        <v>3002.5721879999996</v>
      </c>
    </row>
    <row r="401" spans="1:7" hidden="1" x14ac:dyDescent="0.25">
      <c r="A401" s="34" t="s">
        <v>1107</v>
      </c>
      <c r="B401" s="19" t="s">
        <v>17</v>
      </c>
      <c r="C401" s="20">
        <v>11065</v>
      </c>
      <c r="D401" s="16" t="s">
        <v>299</v>
      </c>
      <c r="E401" s="30"/>
      <c r="F401" s="29"/>
      <c r="G401" s="40">
        <v>1771.6560840000002</v>
      </c>
    </row>
    <row r="402" spans="1:7" hidden="1" x14ac:dyDescent="0.25">
      <c r="A402" s="34" t="s">
        <v>1108</v>
      </c>
      <c r="B402" s="19" t="s">
        <v>17</v>
      </c>
      <c r="C402" s="20" t="s">
        <v>1109</v>
      </c>
      <c r="D402" s="16" t="s">
        <v>1110</v>
      </c>
      <c r="E402" s="30"/>
      <c r="F402" s="29"/>
      <c r="G402" s="40">
        <v>364.90409999999997</v>
      </c>
    </row>
    <row r="403" spans="1:7" hidden="1" x14ac:dyDescent="0.25">
      <c r="A403" s="34" t="s">
        <v>1111</v>
      </c>
      <c r="B403" s="19" t="s">
        <v>17</v>
      </c>
      <c r="C403" s="20" t="s">
        <v>346</v>
      </c>
      <c r="D403" s="16" t="s">
        <v>300</v>
      </c>
      <c r="E403" s="30"/>
      <c r="F403" s="29"/>
      <c r="G403" s="40">
        <v>948.73442399999999</v>
      </c>
    </row>
    <row r="404" spans="1:7" hidden="1" x14ac:dyDescent="0.25">
      <c r="A404" s="34" t="s">
        <v>1112</v>
      </c>
      <c r="B404" s="19" t="s">
        <v>17</v>
      </c>
      <c r="C404" s="20" t="s">
        <v>347</v>
      </c>
      <c r="D404" s="16" t="s">
        <v>301</v>
      </c>
      <c r="E404" s="30"/>
      <c r="F404" s="29"/>
      <c r="G404" s="40">
        <v>1611.7477199999998</v>
      </c>
    </row>
    <row r="405" spans="1:7" hidden="1" x14ac:dyDescent="0.25">
      <c r="A405" s="34" t="s">
        <v>1113</v>
      </c>
      <c r="B405" s="19" t="s">
        <v>17</v>
      </c>
      <c r="C405" s="20" t="s">
        <v>348</v>
      </c>
      <c r="D405" s="16" t="s">
        <v>22</v>
      </c>
      <c r="E405" s="30"/>
      <c r="F405" s="29"/>
      <c r="G405" s="40">
        <v>645.55959599999994</v>
      </c>
    </row>
    <row r="406" spans="1:7" hidden="1" x14ac:dyDescent="0.25">
      <c r="A406" s="34" t="s">
        <v>1114</v>
      </c>
      <c r="B406" s="19" t="s">
        <v>17</v>
      </c>
      <c r="C406" s="20" t="s">
        <v>349</v>
      </c>
      <c r="D406" s="16" t="s">
        <v>23</v>
      </c>
      <c r="E406" s="30"/>
      <c r="F406" s="29"/>
      <c r="G406" s="40">
        <v>1016.568432</v>
      </c>
    </row>
    <row r="407" spans="1:7" hidden="1" x14ac:dyDescent="0.25">
      <c r="A407" s="34" t="s">
        <v>1115</v>
      </c>
      <c r="B407" s="19" t="s">
        <v>17</v>
      </c>
      <c r="C407" s="20" t="s">
        <v>350</v>
      </c>
      <c r="D407" s="16" t="s">
        <v>24</v>
      </c>
      <c r="E407" s="30"/>
      <c r="F407" s="29"/>
      <c r="G407" s="40">
        <v>788.07920399999989</v>
      </c>
    </row>
    <row r="408" spans="1:7" hidden="1" x14ac:dyDescent="0.25">
      <c r="A408" s="34" t="s">
        <v>1116</v>
      </c>
      <c r="B408" s="19" t="s">
        <v>17</v>
      </c>
      <c r="C408" s="20" t="s">
        <v>351</v>
      </c>
      <c r="D408" s="16" t="s">
        <v>25</v>
      </c>
      <c r="E408" s="30"/>
      <c r="F408" s="29"/>
      <c r="G408" s="40">
        <v>901.34154000000001</v>
      </c>
    </row>
    <row r="409" spans="1:7" hidden="1" x14ac:dyDescent="0.25">
      <c r="A409" s="34" t="s">
        <v>1117</v>
      </c>
      <c r="B409" s="19" t="s">
        <v>17</v>
      </c>
      <c r="C409" s="20" t="s">
        <v>352</v>
      </c>
      <c r="D409" s="16" t="s">
        <v>302</v>
      </c>
      <c r="E409" s="30"/>
      <c r="F409" s="29"/>
      <c r="G409" s="40">
        <v>83.956356</v>
      </c>
    </row>
    <row r="410" spans="1:7" hidden="1" x14ac:dyDescent="0.25">
      <c r="A410" s="34" t="s">
        <v>1118</v>
      </c>
      <c r="B410" s="19" t="s">
        <v>17</v>
      </c>
      <c r="C410" s="20" t="s">
        <v>353</v>
      </c>
      <c r="D410" s="16" t="s">
        <v>21</v>
      </c>
      <c r="E410" s="30"/>
      <c r="F410" s="29"/>
      <c r="G410" s="40">
        <v>47.068163999999996</v>
      </c>
    </row>
    <row r="411" spans="1:7" hidden="1" x14ac:dyDescent="0.25">
      <c r="A411" s="34" t="s">
        <v>1119</v>
      </c>
      <c r="B411" s="19" t="s">
        <v>17</v>
      </c>
      <c r="C411" s="20">
        <v>410028</v>
      </c>
      <c r="D411" s="16" t="s">
        <v>303</v>
      </c>
      <c r="E411" s="30"/>
      <c r="F411" s="29"/>
      <c r="G411" s="40">
        <v>84.816863999999981</v>
      </c>
    </row>
    <row r="412" spans="1:7" hidden="1" x14ac:dyDescent="0.25">
      <c r="A412" s="34" t="s">
        <v>1120</v>
      </c>
      <c r="B412" s="19" t="s">
        <v>17</v>
      </c>
      <c r="C412" s="20">
        <v>410029</v>
      </c>
      <c r="D412" s="16" t="s">
        <v>304</v>
      </c>
      <c r="E412" s="30"/>
      <c r="F412" s="29"/>
      <c r="G412" s="40">
        <v>89.151875999999987</v>
      </c>
    </row>
    <row r="413" spans="1:7" hidden="1" x14ac:dyDescent="0.25">
      <c r="A413" s="34" t="s">
        <v>1121</v>
      </c>
      <c r="B413" s="19" t="s">
        <v>17</v>
      </c>
      <c r="C413" s="20">
        <v>522472</v>
      </c>
      <c r="D413" s="16" t="s">
        <v>305</v>
      </c>
      <c r="E413" s="30"/>
      <c r="F413" s="29"/>
      <c r="G413" s="40">
        <v>693.94287599999996</v>
      </c>
    </row>
    <row r="414" spans="1:7" hidden="1" x14ac:dyDescent="0.25">
      <c r="A414" s="34" t="s">
        <v>1122</v>
      </c>
      <c r="B414" s="19" t="s">
        <v>17</v>
      </c>
      <c r="C414" s="20">
        <v>6310241</v>
      </c>
      <c r="D414" s="16" t="s">
        <v>26</v>
      </c>
      <c r="E414" s="30"/>
      <c r="F414" s="29"/>
      <c r="G414" s="40">
        <v>211.57131599999997</v>
      </c>
    </row>
    <row r="415" spans="1:7" hidden="1" x14ac:dyDescent="0.25">
      <c r="A415" s="34" t="s">
        <v>1123</v>
      </c>
      <c r="B415" s="19" t="s">
        <v>17</v>
      </c>
      <c r="C415" s="20">
        <v>6320241</v>
      </c>
      <c r="D415" s="16" t="s">
        <v>27</v>
      </c>
      <c r="E415" s="30"/>
      <c r="F415" s="29"/>
      <c r="G415" s="40">
        <v>262.95825600000001</v>
      </c>
    </row>
    <row r="416" spans="1:7" hidden="1" x14ac:dyDescent="0.25">
      <c r="A416" s="34" t="s">
        <v>1124</v>
      </c>
      <c r="B416" s="19" t="s">
        <v>17</v>
      </c>
      <c r="C416" s="20">
        <v>6315241</v>
      </c>
      <c r="D416" s="16" t="s">
        <v>28</v>
      </c>
      <c r="E416" s="30"/>
      <c r="F416" s="29"/>
      <c r="G416" s="40">
        <v>230.08035600000002</v>
      </c>
    </row>
    <row r="417" spans="1:7" hidden="1" x14ac:dyDescent="0.25">
      <c r="A417" s="46" t="s">
        <v>1125</v>
      </c>
      <c r="B417" s="47" t="s">
        <v>17</v>
      </c>
      <c r="C417" s="48">
        <v>6315141</v>
      </c>
      <c r="D417" s="49" t="s">
        <v>29</v>
      </c>
      <c r="E417" s="50"/>
      <c r="F417" s="57"/>
      <c r="G417" s="51">
        <v>217.740996</v>
      </c>
    </row>
  </sheetData>
  <hyperlinks>
    <hyperlink ref="A333" r:id="rId1" xr:uid="{5484A08B-3A41-9F45-BE32-9D66475B09F2}"/>
    <hyperlink ref="A332" r:id="rId2" xr:uid="{6743F74C-324F-3C4E-9DA2-E47BE33E5376}"/>
    <hyperlink ref="A331" r:id="rId3" xr:uid="{63C5A297-2A28-1F45-AEBA-7D1814B0077D}"/>
    <hyperlink ref="A330" r:id="rId4" xr:uid="{ED1D6CE8-2195-8B4E-8B8F-67490FB53829}"/>
    <hyperlink ref="A329" r:id="rId5" xr:uid="{D304CDCC-46C5-9A47-99D6-9F49D566B30D}"/>
    <hyperlink ref="A328" r:id="rId6" xr:uid="{044BB208-62AD-8448-99B8-FEEC421DFA08}"/>
    <hyperlink ref="A327" r:id="rId7" xr:uid="{E13717A8-A945-5240-B6AF-714895D80836}"/>
    <hyperlink ref="A326" r:id="rId8" xr:uid="{1F0184BC-0275-E74E-9423-6EB34DB5C175}"/>
    <hyperlink ref="A324" r:id="rId9" xr:uid="{D69AFB0B-3E3C-ED42-AD9D-DFF554925B16}"/>
    <hyperlink ref="A323" r:id="rId10" xr:uid="{3F27FD39-662D-9645-AECC-77AB49BD3870}"/>
    <hyperlink ref="A318" r:id="rId11" xr:uid="{9178D031-D952-9F49-A589-C945EF4791C3}"/>
    <hyperlink ref="A317" r:id="rId12" xr:uid="{582E87F4-23B6-ED4C-AD96-AD7BED3AA9EF}"/>
    <hyperlink ref="A316" r:id="rId13" xr:uid="{161771E1-B6BF-C34F-8E3B-A115CAB68011}"/>
    <hyperlink ref="A315" r:id="rId14" xr:uid="{D84FBF9D-CC8C-D546-AF27-E56798589263}"/>
    <hyperlink ref="A314" r:id="rId15" xr:uid="{CA0F7E2C-9408-1C4E-AC93-CB00461652E3}"/>
    <hyperlink ref="A313" r:id="rId16" xr:uid="{DCBB5A70-D936-FD40-B3AA-D7F43150C1F4}"/>
    <hyperlink ref="A312" r:id="rId17" xr:uid="{2C0FB4E5-EE70-2A47-B5DE-BDABFB88AFD9}"/>
    <hyperlink ref="A311" r:id="rId18" xr:uid="{16621492-C08A-1845-91E7-52FD7DD79FFF}"/>
    <hyperlink ref="A310" r:id="rId19" xr:uid="{A3D048D8-D932-6E4D-891D-C9549E97DE0B}"/>
    <hyperlink ref="A309" r:id="rId20" xr:uid="{AE59E57A-0B1B-A143-952F-152B18B08456}"/>
    <hyperlink ref="A308" r:id="rId21" xr:uid="{C8DB03AC-530D-7A47-8AE1-B8F1672CF4D1}"/>
    <hyperlink ref="A307" r:id="rId22" xr:uid="{8C29E20B-98CB-3441-AFBC-88AF9041F159}"/>
    <hyperlink ref="A306" r:id="rId23" xr:uid="{17390988-4C61-0848-9A0E-52A3D1B193E8}"/>
    <hyperlink ref="A304" r:id="rId24" xr:uid="{D48B18C3-05ED-8B4F-96F6-3679E7D89B53}"/>
    <hyperlink ref="A303" r:id="rId25" xr:uid="{48E2683C-0439-E342-8B09-2B9CD2CE0374}"/>
    <hyperlink ref="A302" r:id="rId26" xr:uid="{59E15142-5733-BE4F-92D5-456B815AD7CF}"/>
    <hyperlink ref="A301" r:id="rId27" xr:uid="{CFF0C633-0E15-0A46-A59E-52A5F49B4F0F}"/>
    <hyperlink ref="A300" r:id="rId28" xr:uid="{695F2D6A-3BE6-1E40-81CA-2B6BCDBD4391}"/>
    <hyperlink ref="A299" r:id="rId29" xr:uid="{E8F20682-4023-E644-B1EA-5617CF0C2C74}"/>
    <hyperlink ref="A296" r:id="rId30" xr:uid="{0D61C218-5EAE-9240-94EE-C88CF591DE44}"/>
    <hyperlink ref="A287" r:id="rId31" xr:uid="{4819F7F9-638C-2B4C-89B8-C6CDCE0E3B4D}"/>
    <hyperlink ref="A286" r:id="rId32" xr:uid="{25900EB5-642F-DE47-AD4F-1A67EBB83A19}"/>
    <hyperlink ref="A284" r:id="rId33" xr:uid="{A243E487-2965-C14A-B678-160CDDA98E18}"/>
    <hyperlink ref="A283" r:id="rId34" xr:uid="{883A4406-F231-1547-B92D-E62AE64A51A6}"/>
    <hyperlink ref="A282" r:id="rId35" xr:uid="{62BA5FF0-EF3C-5744-A45A-D7019E0F74D5}"/>
    <hyperlink ref="A281" r:id="rId36" xr:uid="{CE84E74E-29A6-B04B-BD8A-4390B2E8E7A4}"/>
    <hyperlink ref="A280" r:id="rId37" xr:uid="{B51A2BD3-BE4C-ED49-9B5F-A9115FD5A618}"/>
    <hyperlink ref="A279" r:id="rId38" xr:uid="{74843D05-AE10-4C4B-AEC2-EDD72BB67A42}"/>
    <hyperlink ref="A278" r:id="rId39" xr:uid="{6AB0CD2E-E9DD-E544-BD56-3E59B05F2291}"/>
    <hyperlink ref="A277" r:id="rId40" xr:uid="{4D390ABD-487C-E443-A3D7-04E1C0949546}"/>
    <hyperlink ref="A275" r:id="rId41" xr:uid="{968EF0DD-B36F-0D4B-B5B4-09F4A03357BC}"/>
    <hyperlink ref="A274" r:id="rId42" xr:uid="{B65DAF0B-32A7-5D40-8641-AE970F71F9F3}"/>
    <hyperlink ref="A271" r:id="rId43" xr:uid="{3F54E964-75D9-D044-9C54-0F886650C6BA}"/>
    <hyperlink ref="A336" r:id="rId44" xr:uid="{6DF43CEF-12D1-FB4E-9C8B-B56925FF5E8D}"/>
    <hyperlink ref="A338" r:id="rId45" xr:uid="{DBBD4D10-312D-0A41-B2DA-6B3D78F04242}"/>
    <hyperlink ref="A339" r:id="rId46" xr:uid="{DF036A4E-820C-B14D-A3D6-5A94B9ABBE7A}"/>
    <hyperlink ref="A340" r:id="rId47" xr:uid="{ABAFE5A2-1E47-504E-9E67-6D3FA2845A10}"/>
    <hyperlink ref="A342" r:id="rId48" xr:uid="{F393CD42-5FDD-C846-9186-9432960A97F0}"/>
    <hyperlink ref="A344" r:id="rId49" xr:uid="{78476AC0-054C-2547-B825-D9DF07AD6A43}"/>
    <hyperlink ref="A345" r:id="rId50" xr:uid="{579CEE90-5998-3E4D-81F1-220CA418C1D5}"/>
    <hyperlink ref="A346" r:id="rId51" xr:uid="{6C1EA9AE-CC89-6640-8F60-6F402FDB3BB9}"/>
    <hyperlink ref="A276" r:id="rId52" xr:uid="{043BA5AF-119A-F84F-A860-C11850AFAD35}"/>
    <hyperlink ref="A297" r:id="rId53" xr:uid="{80EF6987-84ED-174A-A838-85F3B41AE8AD}"/>
    <hyperlink ref="A298" r:id="rId54" xr:uid="{F93CADB6-3F69-9240-85F7-96B970B55B0F}"/>
    <hyperlink ref="A272" r:id="rId55" xr:uid="{3C8A6B9F-3F6F-9445-8FFC-2BD5FC91C97F}"/>
    <hyperlink ref="A285" r:id="rId56" xr:uid="{FA6A2A49-52E9-C64E-96A4-D25B0EC164AB}"/>
    <hyperlink ref="A273" r:id="rId57" xr:uid="{DBCA09A3-977F-9447-804C-4C2B87F37B73}"/>
    <hyperlink ref="A288" r:id="rId58" xr:uid="{F02A74CB-A1CE-4B46-9BDD-448F96C88445}"/>
    <hyperlink ref="A289" r:id="rId59" xr:uid="{14030890-FD64-F344-82BF-89294465FB67}"/>
    <hyperlink ref="A290" r:id="rId60" xr:uid="{51EC76BC-38D1-2545-97CC-B0739670C073}"/>
    <hyperlink ref="A291" r:id="rId61" xr:uid="{45755444-86E4-AC42-A9E7-C329855A6415}"/>
    <hyperlink ref="A292" r:id="rId62" xr:uid="{C5912BB3-B2DF-B44A-912C-9EDAF185C6BD}"/>
    <hyperlink ref="A293" r:id="rId63" xr:uid="{0016B766-369C-F94B-ACE6-55CF2D198D51}"/>
    <hyperlink ref="A294" r:id="rId64" xr:uid="{D9B3C809-535B-3341-9C75-AA07F9A7AD2E}"/>
    <hyperlink ref="A295" r:id="rId65" xr:uid="{BE20670A-1872-B445-9EB9-B0A831CBB860}"/>
    <hyperlink ref="A305" r:id="rId66" xr:uid="{2E35C51B-A761-8445-AB6B-0D1A2D534DFE}"/>
    <hyperlink ref="A325" r:id="rId67" xr:uid="{A293569B-363E-CD4A-ABDF-3A0D2EB94FD2}"/>
    <hyperlink ref="A322" r:id="rId68" xr:uid="{6F00AA49-55F8-2948-BB7E-760FF57CCACA}"/>
    <hyperlink ref="A334" r:id="rId69" xr:uid="{4EE9574E-CAE1-874F-AFB8-643243296246}"/>
    <hyperlink ref="A335" r:id="rId70" xr:uid="{C516DBC6-74B3-7B40-8D3C-53393A3C24A7}"/>
    <hyperlink ref="A319" r:id="rId71" xr:uid="{4F4ED053-2E1D-2B49-9A39-E2A074A4A7D7}"/>
    <hyperlink ref="A320" r:id="rId72" xr:uid="{BD87D563-9775-AE48-8B52-AB33C6AD7314}"/>
    <hyperlink ref="A321" r:id="rId73" xr:uid="{AEA30CA1-3018-0842-8892-8C1472861AB3}"/>
    <hyperlink ref="A337" r:id="rId74" xr:uid="{2EE258D8-F66A-534A-BF5E-500BA640886F}"/>
    <hyperlink ref="A341" r:id="rId75" xr:uid="{D4F4542A-8424-994A-A138-36F5B546E4F6}"/>
    <hyperlink ref="A343" r:id="rId76" xr:uid="{508E6992-6AE2-6545-905E-434FA8D563F0}"/>
  </hyperlinks>
  <pageMargins left="0.7" right="0.7" top="0.75" bottom="0.75" header="0.3" footer="0.3"/>
  <tableParts count="1">
    <tablePart r:id="rId7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 /></Relationships>
</file>

<file path=customXml/item1.xml><?xml version="1.0" encoding="utf-8"?>
<scriptIds xmlns="http://schemas.microsoft.com/office/extensibility/maker/v1.0" id="script-ids-node-id">
  <scriptId id="ms-officescript%3A%2F%2Fonedrive_business_itemlink%2F01XYKO3XWF2BAXZLUEGVCLB4AIXVT6NCU3:ms-officescript%3A%2F%2Fonedrive_business_sharinglink%2Fu!aHR0cHM6Ly9vYXNpc2NheW1hbmlzbGFuZHMtbXkuc2hhcmVwb2ludC5jb20vOnU6L2cvcGVyc29uYWwvYmxhaXJfb2FzaXNfa3kvRWNYUVFYeXVoRFZFc1BBSXZXZm1pcHNCUkp6SVFZSS1pN3I5dmlsdklIdURaQQ"/>
</scriptIds>
</file>

<file path=customXml/itemProps1.xml><?xml version="1.0" encoding="utf-8"?>
<ds:datastoreItem xmlns:ds="http://schemas.openxmlformats.org/officeDocument/2006/customXml" ds:itemID="{D4EBE492-727C-6F4F-BC2C-3470A4DD075D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WORK SHEET</vt:lpstr>
      <vt:lpstr>PUMP   SALT</vt:lpstr>
      <vt:lpstr>FILTERS</vt:lpstr>
      <vt:lpstr>LIGHTS</vt:lpstr>
      <vt:lpstr>SERVICE EQUIPMENT</vt:lpstr>
      <vt:lpstr>CHEMICALS</vt:lpstr>
      <vt:lpstr>ELECTRICAL</vt:lpstr>
      <vt:lpstr>PLUMBING</vt:lpstr>
      <vt:lpstr>DEPTH MARKERS</vt:lpstr>
      <vt:lpstr>CONTROLLERS</vt:lpstr>
      <vt:lpstr>HEATERS</vt:lpstr>
      <vt:lpstr>HANDRAILS</vt:lpstr>
      <vt:lpstr>FULL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Bussey</dc:creator>
  <cp:lastModifiedBy>Office 1</cp:lastModifiedBy>
  <cp:lastPrinted>2024-08-06T22:18:32Z</cp:lastPrinted>
  <dcterms:created xsi:type="dcterms:W3CDTF">2024-07-24T15:03:59Z</dcterms:created>
  <dcterms:modified xsi:type="dcterms:W3CDTF">2026-03-02T16:07:09Z</dcterms:modified>
</cp:coreProperties>
</file>